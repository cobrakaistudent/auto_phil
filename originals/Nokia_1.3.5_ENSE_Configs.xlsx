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Transport Operations\eNSE\"/>
    </mc:Choice>
  </mc:AlternateContent>
  <xr:revisionPtr revIDLastSave="0" documentId="13_ncr:1_{0E4002BC-DAEE-4D7A-BF0E-244936759A52}" xr6:coauthVersionLast="47" xr6:coauthVersionMax="47" xr10:uidLastSave="{00000000-0000-0000-0000-000000000000}"/>
  <bookViews>
    <workbookView xWindow="-11090" yWindow="-14510" windowWidth="34620" windowHeight="13900" activeTab="2" xr2:uid="{9BC9C184-AA43-4205-B9A3-EF9D772E91B8}"/>
  </bookViews>
  <sheets>
    <sheet name="Sheet1" sheetId="1" r:id="rId1"/>
    <sheet name="qos" sheetId="7" r:id="rId2"/>
    <sheet name="ip-filter" sheetId="5" r:id="rId3"/>
    <sheet name="prefix-lists" sheetId="2" r:id="rId4"/>
    <sheet name="policy-options" sheetId="3" r:id="rId5"/>
    <sheet name="b40-pol-op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3" l="1"/>
  <c r="Q20" i="5"/>
  <c r="O20" i="5"/>
  <c r="O19" i="5"/>
  <c r="Q140" i="5"/>
  <c r="Q131" i="5"/>
  <c r="Q121" i="5"/>
  <c r="Q139" i="5"/>
  <c r="Q129" i="5"/>
  <c r="Q119" i="5"/>
  <c r="O131" i="5"/>
  <c r="O121" i="5"/>
  <c r="O140" i="5"/>
  <c r="O110" i="5"/>
  <c r="Q110" i="5"/>
  <c r="Q101" i="5"/>
  <c r="O101" i="5"/>
  <c r="O92" i="5"/>
  <c r="Q92" i="5"/>
  <c r="Q84" i="5"/>
  <c r="O84" i="5"/>
  <c r="Q75" i="5"/>
  <c r="O75" i="5"/>
  <c r="Q65" i="5"/>
  <c r="O65" i="5"/>
  <c r="Q56" i="5"/>
  <c r="O56" i="5"/>
  <c r="O47" i="5"/>
  <c r="Q47" i="5"/>
  <c r="Q39" i="5"/>
  <c r="O39" i="5"/>
  <c r="Q30" i="5"/>
  <c r="O30" i="5"/>
  <c r="O139" i="5"/>
  <c r="O129" i="5"/>
  <c r="O119" i="5"/>
  <c r="Q19" i="5"/>
  <c r="Q16" i="5"/>
  <c r="O16" i="5"/>
  <c r="K39" i="5"/>
  <c r="K30" i="5"/>
  <c r="K20" i="5"/>
  <c r="K38" i="5"/>
  <c r="K28" i="5"/>
  <c r="K18" i="5"/>
  <c r="H39" i="5"/>
  <c r="H30" i="5"/>
  <c r="H20" i="5"/>
  <c r="H38" i="5"/>
  <c r="H28" i="5"/>
  <c r="H18" i="5"/>
  <c r="E39" i="5"/>
  <c r="E30" i="5"/>
  <c r="E20" i="5"/>
  <c r="E38" i="5"/>
  <c r="E28" i="5"/>
  <c r="B39" i="5"/>
  <c r="B30" i="5"/>
  <c r="B20" i="5"/>
  <c r="B38" i="5"/>
  <c r="B28" i="5"/>
  <c r="B18" i="5"/>
  <c r="E18" i="5"/>
  <c r="D11" i="2"/>
</calcChain>
</file>

<file path=xl/sharedStrings.xml><?xml version="1.0" encoding="utf-8"?>
<sst xmlns="http://schemas.openxmlformats.org/spreadsheetml/2006/main" count="4731" uniqueCount="703">
  <si>
    <t>#ENSE CONFIGS</t>
  </si>
  <si>
    <t>\configure</t>
  </si>
  <si>
    <t xml:space="preserve">    router Base</t>
  </si>
  <si>
    <t xml:space="preserve">        policy-options</t>
  </si>
  <si>
    <t xml:space="preserve">            begin</t>
  </si>
  <si>
    <t xml:space="preserve">            prefix-list "PRFX_DEFAULT"</t>
  </si>
  <si>
    <t xml:space="preserve">                prefix 0.0.0.0/0 exact</t>
  </si>
  <si>
    <t xml:space="preserve">            exit</t>
  </si>
  <si>
    <t xml:space="preserve">            prefix-list "PRFX_EBH_LOOPBACKS" </t>
  </si>
  <si>
    <t xml:space="preserve">            prefix-list "PRFX_COIN_LOOPBACKS" </t>
  </si>
  <si>
    <t xml:space="preserve">            exit </t>
  </si>
  <si>
    <t xml:space="preserve"> #          community "CMTY_SITE_&lt;SITECLLI&gt;" </t>
  </si>
  <si>
    <t xml:space="preserve"> #              members "&lt;CMTY_SITE_&lt;SITECLLI&gt;_Members&gt;"</t>
  </si>
  <si>
    <t xml:space="preserve">        commit</t>
  </si>
  <si>
    <t xml:space="preserve">        exit</t>
  </si>
  <si>
    <t xml:space="preserve">    exit</t>
  </si>
  <si>
    <t>exit all</t>
  </si>
  <si>
    <t>#1.3.5 - IXRe Prefix Lists (ANY TOPOLOGY)</t>
  </si>
  <si>
    <t xml:space="preserve">            prefix-list "PRFX_GLOBAL_LOOPBACK" </t>
  </si>
  <si>
    <t xml:space="preserve">#1.3.5 - Prefix Lists for EBH AL (B40 ONLY) </t>
  </si>
  <si>
    <t xml:space="preserve">                prefix ::/0 </t>
  </si>
  <si>
    <t xml:space="preserve">                prefix 172.29.0.0/16</t>
  </si>
  <si>
    <t xml:space="preserve">                prefix 172.30.0.0/16</t>
  </si>
  <si>
    <t xml:space="preserve">                prefix 172.31.0.0/16</t>
  </si>
  <si>
    <t xml:space="preserve">                exit</t>
  </si>
  <si>
    <t xml:space="preserve">                    aigp-metric igp</t>
  </si>
  <si>
    <t xml:space="preserve">            policy-statement "EXPORT_RR-5-ENSESR_IRRW-AL"</t>
  </si>
  <si>
    <t xml:space="preserve">                description "EXPORT ROUTES TO HUB AL"</t>
  </si>
  <si>
    <t xml:space="preserve">                entry 5</t>
  </si>
  <si>
    <t xml:space="preserve">                    description "DROP DEFAULT ROUTE"</t>
  </si>
  <si>
    <t xml:space="preserve">                    from</t>
  </si>
  <si>
    <t xml:space="preserve">                        prefix-list "PRFX_DEFAULT"</t>
  </si>
  <si>
    <t xml:space="preserve">                    exit</t>
  </si>
  <si>
    <t xml:space="preserve">                    action drop</t>
  </si>
  <si>
    <t xml:space="preserve">                entry 10</t>
  </si>
  <si>
    <t xml:space="preserve">                    description "SEND MY LOOPBACK LABEL WITH SID"</t>
  </si>
  <si>
    <t xml:space="preserve">                        prefix-list "PRFX_GLOBAL_LOOPBACK"</t>
  </si>
  <si>
    <t xml:space="preserve">                    to</t>
  </si>
  <si>
    <t xml:space="preserve">                        protocol bgp-label</t>
  </si>
  <si>
    <t xml:space="preserve">                    action accept</t>
  </si>
  <si>
    <t xml:space="preserve">                entry 20</t>
  </si>
  <si>
    <t xml:space="preserve">                    description "SEND CONNECTED ROUTES"</t>
  </si>
  <si>
    <t xml:space="preserve">                        protocol direct</t>
  </si>
  <si>
    <t xml:space="preserve">                        protocol evpn-ifl</t>
  </si>
  <si>
    <t xml:space="preserve">                entry 30</t>
  </si>
  <si>
    <t xml:space="preserve">                    description "SEND BGP LABELS"</t>
  </si>
  <si>
    <t xml:space="preserve">                        aigp-metric igp</t>
  </si>
  <si>
    <t xml:space="preserve">                entry 40</t>
  </si>
  <si>
    <t xml:space="preserve">                    description "SEND EVPN"</t>
  </si>
  <si>
    <t xml:space="preserve">                        evpn-type 5</t>
  </si>
  <si>
    <t xml:space="preserve">                        family evpn</t>
  </si>
  <si>
    <t xml:space="preserve">                default-action drop</t>
  </si>
  <si>
    <t xml:space="preserve">            policy-statement "IMPORT_RR-5-ENSESR_IRRW-AL"</t>
  </si>
  <si>
    <t xml:space="preserve">                description "IMPORT ROUTES FROM HUB AL"</t>
  </si>
  <si>
    <t xml:space="preserve">                default-action accept</t>
  </si>
  <si>
    <t xml:space="preserve">                        action accept</t>
  </si>
  <si>
    <t>## For IRR-W to IRR-E</t>
  </si>
  <si>
    <t>##IRR-W to Hub AL (B4A)</t>
  </si>
  <si>
    <t xml:space="preserve">            policy-statement "EXPORT_RR-5-ENSESR_IRRW-EBH"</t>
  </si>
  <si>
    <t xml:space="preserve">                 description "EXPORT ROUTES TO EBH AL"</t>
  </si>
  <si>
    <t xml:space="preserve">                 entry 5</t>
  </si>
  <si>
    <t xml:space="preserve">                exit  </t>
  </si>
  <si>
    <t xml:space="preserve">            policy-statement "IMPORT_RR-5-ENSESR_IRRW-EBH"</t>
  </si>
  <si>
    <t xml:space="preserve">                description "IMPORT ROUTES FROM EBH AL"</t>
  </si>
  <si>
    <t xml:space="preserve">            policy-statement "EXPORT_RR-5-ENSESR_IRRW-IRR"</t>
  </si>
  <si>
    <t xml:space="preserve">                description "EXPORT ROUTES TO PEER IRRS"</t>
  </si>
  <si>
    <t xml:space="preserve">                     exit</t>
  </si>
  <si>
    <t xml:space="preserve">                     action accept</t>
  </si>
  <si>
    <t xml:space="preserve">                 exit</t>
  </si>
  <si>
    <t xml:space="preserve">                 entry 20</t>
  </si>
  <si>
    <t xml:space="preserve">                 entry 30</t>
  </si>
  <si>
    <t xml:space="preserve">            policy-statement "IMPORT_RR-5-ENSESR_IRRW-IRR"</t>
  </si>
  <si>
    <t xml:space="preserve">                description "IMPORT ROUTES FROM PEER IRRS"</t>
  </si>
  <si>
    <t xml:space="preserve">                    description "PREVENT LOOPBACK FROM REFLECTING BACK"</t>
  </si>
  <si>
    <t xml:space="preserve">            policy-statement "IMPORT_RR-5-ENSESR_IRRW-CSR"</t>
  </si>
  <si>
    <t xml:space="preserve">            policy-statement "EXPORT_RR-5-ENSESR_IRRW-CSR"</t>
  </si>
  <si>
    <t xml:space="preserve">                description "EXPORT ROUTES TO CSRS"</t>
  </si>
  <si>
    <t xml:space="preserve">                description "IMPORT ROUTES FROM RING CSRS"</t>
  </si>
  <si>
    <t xml:space="preserve">                    description "IMPORT LEARNED BGP LABELS"</t>
  </si>
  <si>
    <t xml:space="preserve">                    description "IMPORT LEARNED EVPN ROUTES"</t>
  </si>
  <si>
    <t xml:space="preserve">            policy-statement "EXPORT_RR-5-ENSESR_IRRW-SPOKE"</t>
  </si>
  <si>
    <t xml:space="preserve">                description "EXPORT ROUTES TO SPOKE CSRS"</t>
  </si>
  <si>
    <t xml:space="preserve">                    description "PROPAGATE CONNECTED ROUTES"</t>
  </si>
  <si>
    <t xml:space="preserve">                    description "PROPAGATE BGP LABELS"</t>
  </si>
  <si>
    <t xml:space="preserve">                    description "PROPAGATE EVPN"</t>
  </si>
  <si>
    <t xml:space="preserve">            policy-statement "IMPORT_RR-5-ENSESR_IRRW-SPOKE"</t>
  </si>
  <si>
    <t xml:space="preserve">                description "IMPORT ROUTES FROM SPOKE CSRS"</t>
  </si>
  <si>
    <t xml:space="preserve">                exit        </t>
  </si>
  <si>
    <t xml:space="preserve">                    description "IMPORT BGP LABELS"</t>
  </si>
  <si>
    <t xml:space="preserve">                    description "IMPORT EVPN ROUTES"</t>
  </si>
  <si>
    <t xml:space="preserve">            exit    </t>
  </si>
  <si>
    <t xml:space="preserve">            policy-statement "EXPORT_RR-5-ENSESR_IRRE-AL"</t>
  </si>
  <si>
    <t xml:space="preserve">            policy-statement "IMPORT_RR-5-ENSESR_IRRE-AL"</t>
  </si>
  <si>
    <t xml:space="preserve">            policy-statement "EXPORT_RR-5-ENSESR_IRRE-EBH"</t>
  </si>
  <si>
    <t xml:space="preserve">            policy-statement "IMPORT_RR-5-ENSESR_IRRE-EBH"</t>
  </si>
  <si>
    <t xml:space="preserve">            policy-statement "EXPORT_RR-5-ENSESR_IRRE-CSR"</t>
  </si>
  <si>
    <t xml:space="preserve">            policy-statement "IMPORT_RR-5-ENSESR_IRRE-CSR"</t>
  </si>
  <si>
    <t xml:space="preserve">            policy-statement "EXPORT_RR-5-ENSESR_IRRE-IRR"</t>
  </si>
  <si>
    <t xml:space="preserve">            policy-statement "IMPORT_RR-5-ENSESR_IRRE-IRR"</t>
  </si>
  <si>
    <t xml:space="preserve">            policy-statement "EXPORT_RR-5-ENSESR_IRRE-SPOKE"</t>
  </si>
  <si>
    <t xml:space="preserve">            policy-statement "IMPORT_RR-5-ENSESR_IRRE-SPOKE"</t>
  </si>
  <si>
    <t>##IRR-E to Hub AL (B4A)</t>
  </si>
  <si>
    <t>#--------------------------------------------------</t>
  </si>
  <si>
    <t>echo "Policy Configuration"</t>
  </si>
  <si>
    <t>LLD VERSION: 1.3.5</t>
  </si>
  <si>
    <t>#RING B4C NODES</t>
  </si>
  <si>
    <t>## For Ring Nodes to IRR</t>
  </si>
  <si>
    <t xml:space="preserve">            policy-statement "EXPORT_RR-5-ENSESR_CSR-IRR"</t>
  </si>
  <si>
    <t xml:space="preserve">                description "EXPORT ROUTES TO IRRS"</t>
  </si>
  <si>
    <t xml:space="preserve">                    family evpn</t>
  </si>
  <si>
    <t xml:space="preserve">            policy-statement "IMPORT_RR-5-ENSESR_CSR-IRR"</t>
  </si>
  <si>
    <t xml:space="preserve">                description "IMPORT ROUTES FROM IRRS"</t>
  </si>
  <si>
    <t xml:space="preserve">            policy-statement "EXPORT_RR-5-ENSESR_CSR-SPOKE"</t>
  </si>
  <si>
    <t xml:space="preserve">                description "EXPORT ROUTES TO SPOKE"</t>
  </si>
  <si>
    <t>#IRR-W | B4C</t>
  </si>
  <si>
    <t>#IRR-E | B4C</t>
  </si>
  <si>
    <t>#SPOKES OF RING NODES (INCLUDING IRR)</t>
  </si>
  <si>
    <t>#IRR-W to ring nodes</t>
  </si>
  <si>
    <t xml:space="preserve"> (NOT FOR SPOKES OR IRR-E)</t>
  </si>
  <si>
    <t>#IRR-E to ring nodes</t>
  </si>
  <si>
    <t>## For IRR-W to Spoke IXR-E</t>
  </si>
  <si>
    <t>## For IRR-E to Spoke IXR-E</t>
  </si>
  <si>
    <t xml:space="preserve">#EBH IRR-W to EBH-AL (B40-01) </t>
  </si>
  <si>
    <t>## For Ring node to Spoke IXR-E</t>
  </si>
  <si>
    <t xml:space="preserve">            policy-statement "EXPORT_RR-5-ENSESR_SPOKE-CSR"</t>
  </si>
  <si>
    <t xml:space="preserve">            policy-statement "IMPORT_RR-5-ENSESR_SPOKE-CSR"</t>
  </si>
  <si>
    <t xml:space="preserve">                description "IMPORT ROUTES FROM CSR"</t>
  </si>
  <si>
    <t xml:space="preserve">            commit</t>
  </si>
  <si>
    <t>## For Ring Spokes to Host CSR</t>
  </si>
  <si>
    <t>#For additional Spokes</t>
  </si>
  <si>
    <t xml:space="preserve">#EBH IRR-E to EBH-AL (B40-02) </t>
  </si>
  <si>
    <t>#RING ROUTER POLICY OPTIONS | INCLUDING IEN MIXED HUB RING</t>
  </si>
  <si>
    <t xml:space="preserve">            policy-statement "EXPORT_RR-5-ENSESR_BL-IRR"</t>
  </si>
  <si>
    <t xml:space="preserve">                description "EXPORT ROUTES FROM BL TO IRRS"</t>
  </si>
  <si>
    <t xml:space="preserve">                    action accept    </t>
  </si>
  <si>
    <t xml:space="preserve">            policy-statement "IMPORT_RR-5-ENSESR_BL-IRR"</t>
  </si>
  <si>
    <t xml:space="preserve">                description "IMPORT ROUTES FROM IRRS TO BL"</t>
  </si>
  <si>
    <t xml:space="preserve">    exit all</t>
  </si>
  <si>
    <t>#B4B to IRR</t>
  </si>
  <si>
    <t xml:space="preserve">            policy-statement "EXPORT_RR-5-ENSESR_IRRE-BL"</t>
  </si>
  <si>
    <t xml:space="preserve">                description "EXPORT ROUTES FROM IRRE TO BL"</t>
  </si>
  <si>
    <t xml:space="preserve">                    description "PROPAGATE SEND EVPN ROUTES"</t>
  </si>
  <si>
    <t xml:space="preserve">            policy-statement "IMPORT_RR-5-ENSESR_IRRE-BL"</t>
  </si>
  <si>
    <t xml:space="preserve">                description "IMPORT ROUTES FROM BL TO IRRE"</t>
  </si>
  <si>
    <t xml:space="preserve">                entry 20    </t>
  </si>
  <si>
    <t xml:space="preserve">                exit    </t>
  </si>
  <si>
    <t>##IRR-E to Hub BL (B4B)</t>
  </si>
  <si>
    <t>#MIXED IEN RING</t>
  </si>
  <si>
    <t xml:space="preserve">            policy-statement "EXPORT_RR-5-ENSESR_IRRW-BL"</t>
  </si>
  <si>
    <t xml:space="preserve">                description "EXPORT ROUTES FROM IRRW TO BL"</t>
  </si>
  <si>
    <t xml:space="preserve">            policy-statement "IMPORT_RR-5-ENSESR_IRRW-BL"</t>
  </si>
  <si>
    <t xml:space="preserve">                description "IMPORT ROUTES FROM BL TO IRRW"</t>
  </si>
  <si>
    <t>RR-5-ENSESR_BL</t>
  </si>
  <si>
    <t>RR-5-ENSESR_IRR</t>
  </si>
  <si>
    <t xml:space="preserve"> (NOT FOR SPOKES OR IRR-W)</t>
  </si>
  <si>
    <t>## For IRR-E to IRR-W</t>
  </si>
  <si>
    <t>RR-5-ENSESR_SPOKE</t>
  </si>
  <si>
    <t>RR-5-ENSESR_CSR</t>
  </si>
  <si>
    <t>RR-5-ENSESR_AL</t>
  </si>
  <si>
    <t>RR-5-ENSESR_EBH</t>
  </si>
  <si>
    <t xml:space="preserve">            policy-statement "IMPORT_RR-5-ENSESR_BL-BL"</t>
  </si>
  <si>
    <t xml:space="preserve">                description "IMPORT ROUTES FROM PEER HUB BL"</t>
  </si>
  <si>
    <t xml:space="preserve">            policy-statement "EXPORT_RR-5-ENSESR_BL-AL"</t>
  </si>
  <si>
    <t xml:space="preserve">                    description "SEND EVPN ROUTES"</t>
  </si>
  <si>
    <t xml:space="preserve">            policy-statement "IMPORT_RR-5-ENSESR_BL-AL"</t>
  </si>
  <si>
    <t xml:space="preserve">                entry 10    </t>
  </si>
  <si>
    <t>RR-5-ENSESR_PEER</t>
  </si>
  <si>
    <t>#HUB BL to HUB AL</t>
  </si>
  <si>
    <t>#HUB BL to PEER BL</t>
  </si>
  <si>
    <t>#HUB B4A</t>
  </si>
  <si>
    <t xml:space="preserve">            policy-statement "EXPORT_RR-5-ENSESR_AL-CSR"</t>
  </si>
  <si>
    <t xml:space="preserve">            policy-statement "IMPORT_RR-5-ENSESR_AL-CSR"</t>
  </si>
  <si>
    <t xml:space="preserve">                description "IMPORT ROUTES FROM CSRS"</t>
  </si>
  <si>
    <t>## policy for Hub BL</t>
  </si>
  <si>
    <t xml:space="preserve">            policy-statement "EXPORT_RR-5-ENSESR_AL-BL"</t>
  </si>
  <si>
    <t xml:space="preserve">                description "EXPORT ROUTES TO HUB BL"</t>
  </si>
  <si>
    <t xml:space="preserve">            policy-statement "IMPORT_RR-5-ENSESR_AL-BL"</t>
  </si>
  <si>
    <t xml:space="preserve">                description "EXPORT ROUTES FROM HUB BL"</t>
  </si>
  <si>
    <t xml:space="preserve">            policy-statement "EXPORT_RR-5-L3VPN_AL-CSR"</t>
  </si>
  <si>
    <t xml:space="preserve">                description "EXPORT ROUTES TO A CSRS"</t>
  </si>
  <si>
    <t xml:space="preserve">                        protocol bgp-vpn</t>
  </si>
  <si>
    <t xml:space="preserve">                    description "SEND VPN ROUTES"</t>
  </si>
  <si>
    <t xml:space="preserve">                        family vpn-ipv4 vpn-ipv6</t>
  </si>
  <si>
    <t xml:space="preserve">            policy-statement "IMPORT_RR-5-L3VPN_AL-CSR"</t>
  </si>
  <si>
    <t xml:space="preserve">                description "IMPORT ROUTES FROM A CSRS"</t>
  </si>
  <si>
    <t xml:space="preserve">                    description "IMPORT VPN ROUTES"</t>
  </si>
  <si>
    <t>#B4A to B4C (EVPN)</t>
  </si>
  <si>
    <t>#B4A to B4C (L3VPN)</t>
  </si>
  <si>
    <t>RR-5-L3VPN_CSR</t>
  </si>
  <si>
    <t xml:space="preserve">                description "EXPORT ROUTES TO HUB ACCESS LEAF"</t>
  </si>
  <si>
    <t xml:space="preserve">            policy-statement "IMPORT_RR-5-ENSESR_CSR-AL"</t>
  </si>
  <si>
    <t xml:space="preserve">                description "IMPORT ROUTES FROM HUB ACCESS LEAF"</t>
  </si>
  <si>
    <t xml:space="preserve">            policy-statement "EXPORT_RR-5-ENSESR_CSR-AL_LL"</t>
  </si>
  <si>
    <t xml:space="preserve">                description "EXPORT ROUTES TO LL HUB ACCESS LEAF"</t>
  </si>
  <si>
    <t xml:space="preserve">                        local-preference 500</t>
  </si>
  <si>
    <t xml:space="preserve">                    description "PROPAGATE EVPN ROUTES"</t>
  </si>
  <si>
    <t xml:space="preserve">            policy-statement "IMPORT_RR-5-ENSESR_CSR-AL_LL"</t>
  </si>
  <si>
    <t xml:space="preserve">                description "IMPORT ROUTES FROM LL HUB ACCESS LEAF"</t>
  </si>
  <si>
    <t xml:space="preserve">                    local-preference 500</t>
  </si>
  <si>
    <t>#B4C to HUB AL</t>
  </si>
  <si>
    <t>RR-5-ENSESR_AL_LL</t>
  </si>
  <si>
    <t>#B4C to Spoke B4C</t>
  </si>
  <si>
    <t xml:space="preserve">                    from    </t>
  </si>
  <si>
    <t xml:space="preserve">            policy-statement "IMPORT_RR-5-ENSESR_CSR-SPOKE"</t>
  </si>
  <si>
    <t xml:space="preserve">                description "IMPORT ROUTES FROM SPOKE"</t>
  </si>
  <si>
    <t xml:space="preserve">\configure </t>
  </si>
  <si>
    <t xml:space="preserve">            group "RR-5-ENSESR_IRR"</t>
  </si>
  <si>
    <t xml:space="preserve">                description "Ring Node to both IRR-E and IRR-W"</t>
  </si>
  <si>
    <t xml:space="preserve">                family evpn label-ipv4</t>
  </si>
  <si>
    <t xml:space="preserve">                type internal</t>
  </si>
  <si>
    <t xml:space="preserve">                import "IMPORT_RR-5-ENSESR_CSR-IRR"</t>
  </si>
  <si>
    <t xml:space="preserve">                export "EXPORT_RR-5-ENSESR_CSR-IRR"</t>
  </si>
  <si>
    <t xml:space="preserve">                bfd-enable</t>
  </si>
  <si>
    <t xml:space="preserve">                aigp </t>
  </si>
  <si>
    <t xml:space="preserve">#               neighbor &lt;WEST IRR System ipv4 address&gt; </t>
  </si>
  <si>
    <t xml:space="preserve">#                   description "iBGP-TO-&lt;WEST IRR System name&gt;" </t>
  </si>
  <si>
    <t>#                   authentication-key "eNSEbgp"</t>
  </si>
  <si>
    <t xml:space="preserve">#               exit </t>
  </si>
  <si>
    <t xml:space="preserve">#               neighbor &lt;EAST IRR System ipv4 address&gt; </t>
  </si>
  <si>
    <t xml:space="preserve">#                   description "iBGP-TO-&lt;EAST IRR System name&gt;" </t>
  </si>
  <si>
    <t>#               exit</t>
  </si>
  <si>
    <t xml:space="preserve">            group "RR-5-ENSESR_SPOKE"</t>
  </si>
  <si>
    <t xml:space="preserve">#Option#1 RingNode has spoke </t>
  </si>
  <si>
    <t>#               cluster &lt;Ring node System ipv4 address&gt;</t>
  </si>
  <si>
    <t xml:space="preserve">                import "IMPORT_RR-5-ENSESR_CSR-SPOKE"</t>
  </si>
  <si>
    <t xml:space="preserve">                export "EXPORT_RR-5-ENSESR_CSR-SPOKE"</t>
  </si>
  <si>
    <t xml:space="preserve">                aigp</t>
  </si>
  <si>
    <t># Add for each neighbor spoke</t>
  </si>
  <si>
    <t xml:space="preserve">#               neighbor &lt;Spoke IXR-E System ipv4 address&gt; </t>
  </si>
  <si>
    <t xml:space="preserve">#                   description "iBGP-TO-&lt;Spoke IXR-E System name&gt;" </t>
  </si>
  <si>
    <t>#               prefix &lt;B40 system ipv4 address&gt;/32 exact</t>
  </si>
  <si>
    <t xml:space="preserve">Enter Loopback IP </t>
  </si>
  <si>
    <t xml:space="preserve">            group "RR-5-ENSESR_CSR"</t>
  </si>
  <si>
    <t xml:space="preserve">                import "IMPORT_RR-5-ENSESR_SPOKE-CSR"</t>
  </si>
  <si>
    <t xml:space="preserve">                export "EXPORT_RR-5-ENSESR_SPOKE-CSR"</t>
  </si>
  <si>
    <t>#Option 1 : Spoke Connected to RingNode</t>
  </si>
  <si>
    <t xml:space="preserve">#               neighbor &lt;Ring node IXR-E System ipv4 address&gt; </t>
  </si>
  <si>
    <t xml:space="preserve">#                   description "iBGP-TO-&lt;Ring node IXR-E System name&gt;" </t>
  </si>
  <si>
    <t xml:space="preserve">#Option 2 : Spoke Connected to IRR </t>
  </si>
  <si>
    <t xml:space="preserve">#               neighbor &lt;IRR System ipv4 address&gt; </t>
  </si>
  <si>
    <t xml:space="preserve">#                   description "iBGP-TO-&lt;IRR IXR-E System name&gt;" </t>
  </si>
  <si>
    <t xml:space="preserve">                description "IRR-W to IRR-E"</t>
  </si>
  <si>
    <t xml:space="preserve">                type internal </t>
  </si>
  <si>
    <t xml:space="preserve">                cluster &lt;WEST IRR System ipv4 address&gt;</t>
  </si>
  <si>
    <t xml:space="preserve">                import "IMPORT_RR-5-ENSESR_IRRW-IRR"</t>
  </si>
  <si>
    <t xml:space="preserve">                export "EXPORT_RR-5-ENSESR_IRRW-IRR"</t>
  </si>
  <si>
    <t>#Option 1: For IRRWest use following policies</t>
  </si>
  <si>
    <t xml:space="preserve">                import "IMPORT_RR-5-ENSESR_IRRW-CSR"</t>
  </si>
  <si>
    <t xml:space="preserve">                export "EXPORT_RR-5-ENSESR_IRRW-CSR"</t>
  </si>
  <si>
    <t xml:space="preserve"># Add all ring nodes as neighbors </t>
  </si>
  <si>
    <t xml:space="preserve">#Option# 2 IRR has spoke </t>
  </si>
  <si>
    <t>#               cluster &lt;IRR System ipv4 address&gt;</t>
  </si>
  <si>
    <t># Option#2 IRRW has spoke</t>
  </si>
  <si>
    <t xml:space="preserve">                import "IMPORT_RR-5-ENSESR_IRRW-SPOKE"</t>
  </si>
  <si>
    <t xml:space="preserve">                export "EXPORT_RR-5-ENSESR_IRRW-SPOKE"</t>
  </si>
  <si>
    <t xml:space="preserve"># Add for each neighbor spoke </t>
  </si>
  <si>
    <t xml:space="preserve">            group "RR-5-ENSESR_AL"</t>
  </si>
  <si>
    <t xml:space="preserve">                description "Neighbor group for EVPN Hub Access Leaf"</t>
  </si>
  <si>
    <t>#Only for IRR-West apply following policies</t>
  </si>
  <si>
    <t xml:space="preserve">                import "IMPORT_RR-5-ENSESR_IRRW-AL"</t>
  </si>
  <si>
    <t xml:space="preserve">                export "EXPORT_RR-5-ENSESR_IRRW-AL"</t>
  </si>
  <si>
    <t xml:space="preserve">#               neighbor &lt;Hub-AL System ipv4 address&gt; </t>
  </si>
  <si>
    <t xml:space="preserve">#                    description "iBGP-TO-&lt;Hub-AL system name&gt;" </t>
  </si>
  <si>
    <t>#                    authentication-key "eNSEbgp"</t>
  </si>
  <si>
    <t xml:space="preserve">            group "RR-5-ENSESR_EBH"</t>
  </si>
  <si>
    <t xml:space="preserve">            #Only for IRR-East apply following policies</t>
  </si>
  <si>
    <t xml:space="preserve">                import "IMPORT_RR-5-ENSESR_IRRE-EBH"</t>
  </si>
  <si>
    <t xml:space="preserve">                export "EXPORT_RR-5-ENSESR_IRRE-EBH"</t>
  </si>
  <si>
    <t xml:space="preserve">#                   description "iBGP-TO-&lt;Hub-AL system name&gt;" </t>
  </si>
  <si>
    <t xml:space="preserve">                import "IMPORT_RR-5-ENSESR_IRRW-EBH"</t>
  </si>
  <si>
    <t xml:space="preserve">                export "EXPORT_RR-5-ENSESR_IRRW-EBH"</t>
  </si>
  <si>
    <t xml:space="preserve">                import "IMPORT_RR-5-ENSESR_IRRE-AL"</t>
  </si>
  <si>
    <t xml:space="preserve">                export "EXPORT_RR-5-ENSESR_IRRE-AL"</t>
  </si>
  <si>
    <t xml:space="preserve">#                   description " iBGP-TO-&lt;Hub-AL system name&gt;" </t>
  </si>
  <si>
    <t xml:space="preserve">                description "IRR-E to IRR-W"</t>
  </si>
  <si>
    <t xml:space="preserve">                cluster &lt;EAST IRR System ipv4 address&gt;</t>
  </si>
  <si>
    <t xml:space="preserve">                import "IMPORT_RR-5-ENSESR_IRRE-IRR"</t>
  </si>
  <si>
    <t xml:space="preserve">                export "EXPORT_RR-5-ENSESR_IRRE-IRR"</t>
  </si>
  <si>
    <t xml:space="preserve">                import "IMPORT_RR-5-ENSESR_IRRE-SPOKE"</t>
  </si>
  <si>
    <t xml:space="preserve">                export "EXPORT_RR-5-ENSESR_IRRE-SPOKE"</t>
  </si>
  <si>
    <t>#Option 2: For IRREast use following policies</t>
  </si>
  <si>
    <t xml:space="preserve">                import "IMPORT_RR-5-ENSESR_IRRE-CSR"</t>
  </si>
  <si>
    <t xml:space="preserve">                export "EXPORT_RR-5-ENSESR_IRRE-CSR"</t>
  </si>
  <si>
    <t xml:space="preserve">                import "IMPORT_RR-5-ENSESR_BL-IRR"</t>
  </si>
  <si>
    <t xml:space="preserve">                export "EXPORT_RR-5-ENSESR_BL-IRR"</t>
  </si>
  <si>
    <t xml:space="preserve">#               neighbor &lt;IRR East Router ID&gt; </t>
  </si>
  <si>
    <t xml:space="preserve">#                   description "iBGP-TO-&lt;IRR West system name&gt;" </t>
  </si>
  <si>
    <t xml:space="preserve">#                   description "iBGP-TO-&lt;IRR East system name&gt;" </t>
  </si>
  <si>
    <t xml:space="preserve">            group "RR-5-ENSESR_PEER"</t>
  </si>
  <si>
    <t xml:space="preserve">                description "Neighbor group for PEER HUB BL"</t>
  </si>
  <si>
    <t xml:space="preserve">                cluster &lt;cluster&gt;</t>
  </si>
  <si>
    <t xml:space="preserve">                import "IMPORT_RR-5-ENSESR_BL-BL"</t>
  </si>
  <si>
    <t xml:space="preserve">                export "EXPORT_RR-5-ENSESR_BL-BL"</t>
  </si>
  <si>
    <t xml:space="preserve">                advertise-inactive</t>
  </si>
  <si>
    <t xml:space="preserve">### For Hub BL-01 configure neighbor to Hub BL-02 (Not applicable for Single Hub) </t>
  </si>
  <si>
    <t xml:space="preserve">### For Hub BL-02 configure neighbor to Hub BL-01 (Not applicable for Single Hub) </t>
  </si>
  <si>
    <t xml:space="preserve">#               neighbor &lt;Peer Hub BL router id&gt; </t>
  </si>
  <si>
    <t xml:space="preserve">#                   description &lt;Peer Hub BL neighbor desc&gt; </t>
  </si>
  <si>
    <t>#                   authentication-key &lt;Peer Hub BL authentication key&gt;</t>
  </si>
  <si>
    <t xml:space="preserve">                description "Neighbor group for HUB AL"</t>
  </si>
  <si>
    <t>### Repeat the Following config for all Hub ALs</t>
  </si>
  <si>
    <t xml:space="preserve">                description "Neighbor group for EVPN DRAN CSR"</t>
  </si>
  <si>
    <t xml:space="preserve">                import "IMPORT_RR-5-ENSESR_AL-CSR"</t>
  </si>
  <si>
    <t xml:space="preserve">                export "EXPORT_RR-5-ENSESR_AL-CSR"</t>
  </si>
  <si>
    <t xml:space="preserve">### Repeat the Following config for each Spoke CSR (B4C) </t>
  </si>
  <si>
    <t xml:space="preserve">                neighbor &lt;Spoke_CSR router id&gt; </t>
  </si>
  <si>
    <t xml:space="preserve">                    description "iBGP-TO-&lt;Spoke_CSR system name&gt;" </t>
  </si>
  <si>
    <t xml:space="preserve">            group "RR-5-ENSESR_BL"</t>
  </si>
  <si>
    <t xml:space="preserve">                description "Neighbor group for HUB BL"</t>
  </si>
  <si>
    <t xml:space="preserve">                import "IMPORT_RR-5-ENSESR_AL-BL"</t>
  </si>
  <si>
    <t xml:space="preserve">                export "EXPORT_RR-5-ENSESR_AL-BL"</t>
  </si>
  <si>
    <t xml:space="preserve">                neighbor &lt;Hub BL router id&gt; </t>
  </si>
  <si>
    <t>### Repeat the Following config for each Hub BL (B4B)</t>
  </si>
  <si>
    <t xml:space="preserve">                    description "iBGP-TO-&lt;Hub BL system name&gt;" </t>
  </si>
  <si>
    <t xml:space="preserve">                    authentication-key "&lt;Hub BL authentication-key&gt;"</t>
  </si>
  <si>
    <t xml:space="preserve">## Configure this group only if any L3VPN DRAN CSR is connected </t>
  </si>
  <si>
    <t>## downstream in Hub-Spoke daisy chain</t>
  </si>
  <si>
    <t xml:space="preserve">            group "RR-5-L3VPN_CSR"</t>
  </si>
  <si>
    <t xml:space="preserve">                description "Neighbor group for L3VPN DRAN CSR"</t>
  </si>
  <si>
    <t xml:space="preserve">                family vpn-ipv4 vpn-ipv6 label-ipv4</t>
  </si>
  <si>
    <t xml:space="preserve">                cluster &lt;cluster ID&gt;</t>
  </si>
  <si>
    <t xml:space="preserve">                import "IMPORT_RR-5-L3VPN_AL_CSR"</t>
  </si>
  <si>
    <t xml:space="preserve">                export "EXPORT_RR-5-L3VPN_AL-CSR"</t>
  </si>
  <si>
    <t>#HUB B4C | NON RING</t>
  </si>
  <si>
    <t xml:space="preserve">                description "Neighbor group for EVPN Hub AL"</t>
  </si>
  <si>
    <t xml:space="preserve">                import "IMPORT_RR-5-ENSESR_CSR-AL"</t>
  </si>
  <si>
    <t xml:space="preserve">                export "EXPORT_RR-5-ENSESR_CSR-AL"</t>
  </si>
  <si>
    <t>## NOTE : Choose one neighbor based on the highest latency towards Hub AL</t>
  </si>
  <si>
    <t xml:space="preserve">                neighbor &lt;Hub AL System ipv4 address&gt; </t>
  </si>
  <si>
    <t xml:space="preserve">                    description "iBGP-TO-&lt;Hub AL-B4A system name&gt;" </t>
  </si>
  <si>
    <t xml:space="preserve">            group "RR-5-ENSESR_AL_LL"</t>
  </si>
  <si>
    <t xml:space="preserve">                description "Neighbor group for LL HUB AL"</t>
  </si>
  <si>
    <t xml:space="preserve">                import "IMPORT_RR-5-ENSESR_CSR-AL_LL"</t>
  </si>
  <si>
    <t xml:space="preserve">                export "EXPORT_RR-5-ENSESR_CSR-AL_LL"</t>
  </si>
  <si>
    <t>## NOTE : Choose one neighbor based on the lowest latency towards Hub AL</t>
  </si>
  <si>
    <t>## LOW LATENCY LINK (ONLY FOR DUAL B4A)</t>
  </si>
  <si>
    <t xml:space="preserve">#B4C to HUB AL </t>
  </si>
  <si>
    <t xml:space="preserve">                cluster &lt;DRAN IXR-E System ipv4 address&gt;</t>
  </si>
  <si>
    <t xml:space="preserve">                    authentication-key "eNSEbgp"</t>
  </si>
  <si>
    <t xml:space="preserve">        ip-filter 10004 name "ACL_BLOCK_IRR_EAST" create</t>
  </si>
  <si>
    <t xml:space="preserve">            default-action forward</t>
  </si>
  <si>
    <t xml:space="preserve">            description "Block MH-BFD and BGP from IRR-EAST"</t>
  </si>
  <si>
    <t xml:space="preserve">            entry 20 create</t>
  </si>
  <si>
    <t xml:space="preserve">                match protocol udp</t>
  </si>
  <si>
    <t xml:space="preserve">                    dst-port eq 4784</t>
  </si>
  <si>
    <t xml:space="preserve">                action</t>
  </si>
  <si>
    <t xml:space="preserve">                    drop</t>
  </si>
  <si>
    <t xml:space="preserve">            entry 40 create</t>
  </si>
  <si>
    <t xml:space="preserve">                match protocol tcp</t>
  </si>
  <si>
    <t xml:space="preserve">                    dst-port eq 179</t>
  </si>
  <si>
    <t xml:space="preserve">            entry 41 create</t>
  </si>
  <si>
    <t xml:space="preserve">                    src-port eq 179</t>
  </si>
  <si>
    <t>#10001</t>
  </si>
  <si>
    <t>#10004</t>
  </si>
  <si>
    <t>#10006</t>
  </si>
  <si>
    <t>#10003</t>
  </si>
  <si>
    <t>#10002</t>
  </si>
  <si>
    <t xml:space="preserve">#Where dst-ip is &lt;System IPv4 address&gt;/32 of RING node </t>
  </si>
  <si>
    <t xml:space="preserve">### Where dst-ip is &lt;System IPv4 address&gt;/32 of RING node </t>
  </si>
  <si>
    <t>### Example : Filter-id 10004 For Ring WEST INTERFACES (1/1/c33/1)</t>
  </si>
  <si>
    <t>### Example : Filter-id 10001 For Geo-Diverse Ring between B4As</t>
  </si>
  <si>
    <t xml:space="preserve"># (node on which this filter is applied) - &lt;System IPv4 address&gt;/32 </t>
  </si>
  <si>
    <t>### src-ip is &lt;IRR_EAST System IPv4 address&gt;/32 – &lt;IRR_EAST System IPv4 address&gt;/32</t>
  </si>
  <si>
    <t>ACL_BLOCK_EBH_WEST</t>
  </si>
  <si>
    <t>ACL_BLOCK_HUB-AL_ODD</t>
  </si>
  <si>
    <t xml:space="preserve">        ip-filter 10001 name "ACL_BLOCK_EBH_WEST" create</t>
  </si>
  <si>
    <t xml:space="preserve">            description "Block MH-BFD and BGP from odd EBH Peer"</t>
  </si>
  <si>
    <t>## FOR WESTBOUND RING INTERFACES NOT FACING B40 | INCLUDING MIXED IEN HUB</t>
  </si>
  <si>
    <t>## FOR EASTBOUND RING INTERFACES NOT FACING B40 | INCLUDING MIXED IEN HUB</t>
  </si>
  <si>
    <t>echo "Filter Configuration"</t>
  </si>
  <si>
    <t>### Example : Filter-id 10002 For Geo-Diverse Ring between B4As</t>
  </si>
  <si>
    <t>### src-ip is &lt;B40-02 System IPv4 address&gt;/32 – &lt;B40-02 System IPv4 address&gt;/32</t>
  </si>
  <si>
    <t xml:space="preserve">    filter</t>
  </si>
  <si>
    <t xml:space="preserve">        ip-filter 10002 name "ACL_BLOCK_EBH_EAST" create</t>
  </si>
  <si>
    <t xml:space="preserve">            description "Block MH-BFD and BGP from even EBH Peer"</t>
  </si>
  <si>
    <t>ACL_BLOCK_EBH_EAST</t>
  </si>
  <si>
    <t>ACL_BLOCK_HUB-AL_EVEN</t>
  </si>
  <si>
    <t>### src-ip is &lt;B40-01 System IPv4 address&gt;/32 – &lt;B40-01 System IPv4 address&gt;/32</t>
  </si>
  <si>
    <t xml:space="preserve">### Where dst-ip is &lt;IRR-W System IPv4 address&gt;/32 of IRR-WEST node </t>
  </si>
  <si>
    <t xml:space="preserve">#(node on which this filter is applied) - &lt;IRR-W System IPv4 address&gt;/32 </t>
  </si>
  <si>
    <t xml:space="preserve">### Where dst-ip is &lt;IRR-E System IPv4 address&gt;/32 of IRR-EAST node </t>
  </si>
  <si>
    <t xml:space="preserve">#   (node on which this filter is applied) - &lt;IRR-E System IPv4 address&gt;/32 </t>
  </si>
  <si>
    <t xml:space="preserve">    (node on which this filter is applied) - &lt;System IPv4 address&gt;/32 </t>
  </si>
  <si>
    <t>#src-ip is &lt;IRR_WEST System IPv4 address&gt;/32 – &lt;IRR_WEST System IPv4 address&gt;/32</t>
  </si>
  <si>
    <t xml:space="preserve">        ip-filter 10003 name "ACL_BLOCK_IRR_WEST" create</t>
  </si>
  <si>
    <t xml:space="preserve">            description "Block MH-BFD and BGP from IRR-WEST"</t>
  </si>
  <si>
    <t>#Example : Filter-id 10003 For Ring EAST INTERFACES (1/1/c34/1)</t>
  </si>
  <si>
    <t xml:space="preserve">/config </t>
  </si>
  <si>
    <t xml:space="preserve">        ip-filter 10006 name "ACL_BLOCK_IRR_EVERYTHING" create</t>
  </si>
  <si>
    <t xml:space="preserve">            description "Allow local B4As, Block MH-BFD and BGP from IRRs and local BL PEER"</t>
  </si>
  <si>
    <t xml:space="preserve">                description "allow Hub local B4A_xx traffic"</t>
  </si>
  <si>
    <t xml:space="preserve">                match </t>
  </si>
  <si>
    <t xml:space="preserve">                    forward</t>
  </si>
  <si>
    <t xml:space="preserve">            entry 120 create</t>
  </si>
  <si>
    <t xml:space="preserve">                    dst-port eq 4784 </t>
  </si>
  <si>
    <t xml:space="preserve">            entry 140 create</t>
  </si>
  <si>
    <t xml:space="preserve">                    dst-port eq 179 </t>
  </si>
  <si>
    <t xml:space="preserve">            entry 141 create</t>
  </si>
  <si>
    <t xml:space="preserve">                match protocol tcp </t>
  </si>
  <si>
    <t xml:space="preserve">            entry 142 create</t>
  </si>
  <si>
    <t xml:space="preserve">            entry 143 create</t>
  </si>
  <si>
    <t xml:space="preserve">            entry 150 create</t>
  </si>
  <si>
    <t xml:space="preserve">            entry 160 create</t>
  </si>
  <si>
    <t xml:space="preserve">            entry 170 create</t>
  </si>
  <si>
    <t xml:space="preserve">            entry 180 create</t>
  </si>
  <si>
    <t xml:space="preserve">            entry 190 create</t>
  </si>
  <si>
    <t xml:space="preserve">            entry 220 create</t>
  </si>
  <si>
    <t xml:space="preserve">                match protocol udp </t>
  </si>
  <si>
    <t xml:space="preserve">            entry 240 create</t>
  </si>
  <si>
    <t xml:space="preserve">            entry 241 create</t>
  </si>
  <si>
    <t>### FOR B4B-02 (IF DUAL HUB)</t>
  </si>
  <si>
    <t>### FOR B4B-01 (OR SINGLE HUB)</t>
  </si>
  <si>
    <t>dst-ip | [IRR-W Loopback]</t>
  </si>
  <si>
    <t>src-ip [B40-01 Loopback]</t>
  </si>
  <si>
    <t>dst-ip | [IRR-E Loopback]</t>
  </si>
  <si>
    <t>src-ip [B40-02 Loopback]</t>
  </si>
  <si>
    <t>dst-ip</t>
  </si>
  <si>
    <t>B4B-01 System IP Address</t>
  </si>
  <si>
    <t>src-ip [IRR-W]</t>
  </si>
  <si>
    <t>src-ip [IRR-E]</t>
  </si>
  <si>
    <t>B4B-02 System IP Address</t>
  </si>
  <si>
    <t>entry #</t>
  </si>
  <si>
    <t>src-ip [B4A Loopback]</t>
  </si>
  <si>
    <t>###DUAL HUB ONLY</t>
  </si>
  <si>
    <t>## Repeat the following entry for each local B4A connected in the Hub fabric [use 11-119 based on next avaiable]</t>
  </si>
  <si>
    <t xml:space="preserve">#               neighbor &lt;IRR West Router ID&gt; </t>
  </si>
  <si>
    <t xml:space="preserve">                cluster &lt;B4B Router ID&gt;</t>
  </si>
  <si>
    <t xml:space="preserve">            policy-statement "EXPORT_RR-5-ENSESR_CSR-AL"</t>
  </si>
  <si>
    <t>#Only for IRR-East apply following policies</t>
  </si>
  <si>
    <t xml:space="preserve">                cluster &lt;IRR System ipv4 address&gt;</t>
  </si>
  <si>
    <t>172.29.202.11</t>
  </si>
  <si>
    <t>### ONLY FOR IRR-W NODE FACING TOWARDS B40-02</t>
  </si>
  <si>
    <t>### USE ONLY ON IRR-E NODE TOWARDS B40-01</t>
  </si>
  <si>
    <t>1.3.5 Prefix Lists (ANY TOPOLOGY)</t>
  </si>
  <si>
    <t xml:space="preserve">                import "IMPORT_RR-5-ENSESR_BL-AL"</t>
  </si>
  <si>
    <t xml:space="preserve">                export "EXPORT_RR-5-ENSESR_BL-AL"</t>
  </si>
  <si>
    <t>src-ip | IRR-W</t>
  </si>
  <si>
    <t>src-ip | IRR-E</t>
  </si>
  <si>
    <t>### FOR USE ON B4B IEN HUB MIXED RING TOWARDS B4A; IF SINGLE HUB, OMIT THE FILTER</t>
  </si>
  <si>
    <t xml:space="preserve"> </t>
  </si>
  <si>
    <t>#IRR-W B4B | RING ONLY</t>
  </si>
  <si>
    <t>#B4B to HUB AL (B4A)</t>
  </si>
  <si>
    <t>#RR-5-ENSESR_AL</t>
  </si>
  <si>
    <t>#RR-5-ENSESR_BL</t>
  </si>
  <si>
    <t>#RR-5-ENSESR_PEER</t>
  </si>
  <si>
    <t>#RR-5-ENSESR_CSR</t>
  </si>
  <si>
    <t>#RR-5-ENSESR_EBH</t>
  </si>
  <si>
    <t>#RR-5-ENSESR_IRR</t>
  </si>
  <si>
    <t>#RING NODE B4B | INCLUDING TOWARDS HUB SITES</t>
  </si>
  <si>
    <t xml:space="preserve">#Add the below for each B4A neighbor </t>
  </si>
  <si>
    <t>#TO PEER BL (SAME SITE)</t>
  </si>
  <si>
    <t xml:space="preserve">#Add the below for each B4C neighbor </t>
  </si>
  <si>
    <t xml:space="preserve">#for IRR-West Use B40-01 system IP </t>
  </si>
  <si>
    <t xml:space="preserve">#Only for IRR-West </t>
  </si>
  <si>
    <t>#ONLY FOR IRR IP | WEST NODE ONLY HAS EAST IRR</t>
  </si>
  <si>
    <t>#FOR IRR-WEST TO B40-01</t>
  </si>
  <si>
    <t>#FOR EVERY B4B RING NODE</t>
  </si>
  <si>
    <t>#FOR EVERY B4B CSR (B4C/IXRe)</t>
  </si>
  <si>
    <t>/configure</t>
  </si>
  <si>
    <t>## EBH Access-leaf to IRR peer</t>
  </si>
  <si>
    <t>exit</t>
  </si>
  <si>
    <t>ONTRCAOY</t>
  </si>
  <si>
    <t>&lt;SITECLLI&gt;</t>
  </si>
  <si>
    <t xml:space="preserve">            prefix-list "PRFX_GLOBAL_LOOPBACK"</t>
  </si>
  <si>
    <t xml:space="preserve">                prefix 172.31.133.14/32 exact</t>
  </si>
  <si>
    <t xml:space="preserve">                prefix ::/0 exact</t>
  </si>
  <si>
    <t xml:space="preserve">            prefix-list "PRFX_COIN_LOOPBACKS"</t>
  </si>
  <si>
    <t xml:space="preserve">            prefix-list "PRFX_EBH_LOOPBACKS"</t>
  </si>
  <si>
    <t xml:space="preserve">router </t>
  </si>
  <si>
    <t xml:space="preserve">    policy-options</t>
  </si>
  <si>
    <t xml:space="preserve">      begin</t>
  </si>
  <si>
    <t xml:space="preserve">  router Base</t>
  </si>
  <si>
    <t xml:space="preserve">      policy-statement "EXPORT_RR-5-ENSESR_EBH-IRR"</t>
  </si>
  <si>
    <t xml:space="preserve">        description "EXPORT ROUTES TO DRAN IRRS"</t>
  </si>
  <si>
    <t xml:space="preserve">        entry 10</t>
  </si>
  <si>
    <t xml:space="preserve">          description "SEND SAP/TAP LABELS"</t>
  </si>
  <si>
    <t xml:space="preserve">          from</t>
  </si>
  <si>
    <t xml:space="preserve">          exit</t>
  </si>
  <si>
    <t xml:space="preserve">          to</t>
  </si>
  <si>
    <t xml:space="preserve">            protocol bgp-label</t>
  </si>
  <si>
    <t xml:space="preserve">          action accept</t>
  </si>
  <si>
    <t xml:space="preserve">            next-hop-self</t>
  </si>
  <si>
    <t xml:space="preserve">            aigp-metric igp</t>
  </si>
  <si>
    <t xml:space="preserve">        entry 20</t>
  </si>
  <si>
    <t xml:space="preserve">          description "SEND SERVICE DEFAULT"</t>
  </si>
  <si>
    <t xml:space="preserve">        default-action drop</t>
  </si>
  <si>
    <t xml:space="preserve">      exit</t>
  </si>
  <si>
    <t xml:space="preserve">      policy-statement "IMPORT_RR-5-ENSESR_EBH-IRR"</t>
  </si>
  <si>
    <t xml:space="preserve">        description "IMPORT ROUTES FROM DRAN IRRS"</t>
  </si>
  <si>
    <t xml:space="preserve">          description "RECEIVE EBH LABELS"</t>
  </si>
  <si>
    <t xml:space="preserve">          action accept </t>
  </si>
  <si>
    <t xml:space="preserve">            community add "CMTY_SITE_ONTRCAOY"</t>
  </si>
  <si>
    <t xml:space="preserve">          description "DROP DEFAULT ROUTE"</t>
  </si>
  <si>
    <t xml:space="preserve">          action drop</t>
  </si>
  <si>
    <t xml:space="preserve">        entry 30</t>
  </si>
  <si>
    <t xml:space="preserve">          description "RECEIVE SERVICE ROUTES"</t>
  </si>
  <si>
    <t xml:space="preserve">            next-hop prefix-list "PRFX_EBH_LOOPBACKS"</t>
  </si>
  <si>
    <t xml:space="preserve">            evpn-type 5</t>
  </si>
  <si>
    <t xml:space="preserve">            family evpn</t>
  </si>
  <si>
    <t xml:space="preserve">    </t>
  </si>
  <si>
    <t xml:space="preserve">      commit</t>
  </si>
  <si>
    <t xml:space="preserve">  router</t>
  </si>
  <si>
    <t xml:space="preserve">    bgp</t>
  </si>
  <si>
    <t xml:space="preserve">      group "RR-5-ENSESR_IRR"</t>
  </si>
  <si>
    <t xml:space="preserve">        description "Neighbor group for Routed Ring"</t>
  </si>
  <si>
    <t xml:space="preserve">        family evpn label-ipv4</t>
  </si>
  <si>
    <t xml:space="preserve">        type internal </t>
  </si>
  <si>
    <t xml:space="preserve">        cluster 172.31.133.14</t>
  </si>
  <si>
    <t xml:space="preserve">        import "IMPORT_RR-5-ENSESR_EBH-IRR"</t>
  </si>
  <si>
    <t xml:space="preserve">        export "EXPORT_RR-5-ENSESR_EBH-IRR"</t>
  </si>
  <si>
    <t xml:space="preserve">        bfd-enable</t>
  </si>
  <si>
    <t xml:space="preserve">        aigp </t>
  </si>
  <si>
    <t xml:space="preserve">        neighbor 172.29.202.13</t>
  </si>
  <si>
    <t xml:space="preserve">          description "iBGP-TO-ONTRCAOYB4B-NK-000427272-01"</t>
  </si>
  <si>
    <t xml:space="preserve">          authentication-key "eNSEbgp"</t>
  </si>
  <si>
    <t xml:space="preserve">      </t>
  </si>
  <si>
    <t xml:space="preserve">    no shutdown</t>
  </si>
  <si>
    <t xml:space="preserve">  exit</t>
  </si>
  <si>
    <t xml:space="preserve">            description "Neighbor group for HUB AL"</t>
  </si>
  <si>
    <t xml:space="preserve">            family evpn label-ipv4</t>
  </si>
  <si>
    <t xml:space="preserve">            type internal </t>
  </si>
  <si>
    <t>#            cluster &lt;Local System IPv4 address&gt;</t>
  </si>
  <si>
    <t xml:space="preserve">            import "IMPORT_RR-5-ENSESR_BL-AL"</t>
  </si>
  <si>
    <t xml:space="preserve">            export "EXPORT_RR-5-ENSESR_BL-AL"</t>
  </si>
  <si>
    <t xml:space="preserve">            bfd-enable</t>
  </si>
  <si>
    <t xml:space="preserve">            aigp </t>
  </si>
  <si>
    <t xml:space="preserve">#            neighbor &lt;B4A System IPv4 address&gt; </t>
  </si>
  <si>
    <t xml:space="preserve">            policy-statement "EXPORT_RR-5-ENSESR_BL-BL"</t>
  </si>
  <si>
    <t xml:space="preserve">            description "Neighbor group for PEER HUB BL"</t>
  </si>
  <si>
    <t xml:space="preserve">            import "IMPORT_RR-5-ENSESR_BL-BL"</t>
  </si>
  <si>
    <t xml:space="preserve">            export "EXPORT_RR-5-ENSESR_BL-BL"</t>
  </si>
  <si>
    <t xml:space="preserve">            group "RR-5-ENSESR_BL" </t>
  </si>
  <si>
    <t xml:space="preserve">            description "Neighbor group for CSR"</t>
  </si>
  <si>
    <t xml:space="preserve">            import "IMPORT_RR-5-ENSESR_IRRW-CSR"</t>
  </si>
  <si>
    <t xml:space="preserve">            export "EXPORT_RR-5-ENSESR_IRRW-CSR"</t>
  </si>
  <si>
    <t xml:space="preserve">            description "Neighbor group for EBH AL"</t>
  </si>
  <si>
    <t xml:space="preserve">            type internal #Only for IRR-West apply following policies</t>
  </si>
  <si>
    <t xml:space="preserve">            import "IMPORT_RR-5-ENSESR_IRRW-EBH"</t>
  </si>
  <si>
    <t xml:space="preserve">            export "EXPORT_RR-5-ENSESR_IRRW-EBH"</t>
  </si>
  <si>
    <t xml:space="preserve">#            neighbor &lt;EBH-AL-System IPv4 address&gt; </t>
  </si>
  <si>
    <t xml:space="preserve">            description "Neighbor group for Ring IRR"</t>
  </si>
  <si>
    <t xml:space="preserve">            type internal</t>
  </si>
  <si>
    <t xml:space="preserve">            import "IMPORT_RR-5-ENSESR_IRRW-IRR"</t>
  </si>
  <si>
    <t xml:space="preserve">            export "EXPORT_RR-5-ENSESR_IRRW-IRR"</t>
  </si>
  <si>
    <t xml:space="preserve">                description "EXPORT ROUTES TO HUB ACCESS LEAFS"</t>
  </si>
  <si>
    <t xml:space="preserve">                default-action drop   </t>
  </si>
  <si>
    <t xml:space="preserve">                description "EXPORT ROUTES TO BORDER LEAF PEERS"</t>
  </si>
  <si>
    <t xml:space="preserve">                    description "SEND LEARNED BGP LABELS"</t>
  </si>
  <si>
    <t xml:space="preserve">                    description "SEND LEARNED EVPN ROUTES"</t>
  </si>
  <si>
    <t xml:space="preserve">                description "IMPORT ROUTES FROM HUB ACCESS LEAFS"</t>
  </si>
  <si>
    <t xml:space="preserve">                description "IMPORT ROUTES FROM HUB BORDER LEAF PEERS"</t>
  </si>
  <si>
    <t xml:space="preserve">                exit                  </t>
  </si>
  <si>
    <t xml:space="preserve">                    from              </t>
  </si>
  <si>
    <t xml:space="preserve">                description "EXPORT ROUTES TO ODD HUB BORDER LEAF PEERS"</t>
  </si>
  <si>
    <t xml:space="preserve">                description "IMPORT ROUTES FROM ODD HUB BORDER LEAFS"</t>
  </si>
  <si>
    <t xml:space="preserve">                    exit              </t>
  </si>
  <si>
    <t xml:space="preserve">                description "EXPORT ROUTES TO RING CSRS"</t>
  </si>
  <si>
    <t xml:space="preserve">                description "EXPORT ROUTES TO EBH ACCESS LEAF"</t>
  </si>
  <si>
    <t xml:space="preserve">                description "EXPORT ROUTES TO PEER IRR"</t>
  </si>
  <si>
    <t xml:space="preserve">                description "IMPORT ROUTES FROM THE EBH ACCESS LEAF"</t>
  </si>
  <si>
    <t xml:space="preserve">                description "IMPORT ROUTES FROM IRR PEER"</t>
  </si>
  <si>
    <t>TAKEN FROM NOKIA MOP; BAD CHARACTERS IN CODE</t>
  </si>
  <si>
    <t>#IRR-E B4B | RING ONLY</t>
  </si>
  <si>
    <t xml:space="preserve">            import "IMPORT_RR-5-ENSESR_IRRE-CSR"</t>
  </si>
  <si>
    <t xml:space="preserve">            export "EXPORT_RR-5-ENSESR_IRRE-CSR"</t>
  </si>
  <si>
    <t xml:space="preserve">            import "IMPORT_RR-5-ENSESR_IRRE-EBH"</t>
  </si>
  <si>
    <t xml:space="preserve">            export "EXPORT_RR-5-ENSESR_IRRE-EBH"</t>
  </si>
  <si>
    <t xml:space="preserve">            import "IMPORT_RR-5-ENSESR_IRRE-IRR"</t>
  </si>
  <si>
    <t xml:space="preserve">            export "EXPORT_RR-5-ENSESR_IRRE-IRR"</t>
  </si>
  <si>
    <t>#FOR IRR-EAST TO B40-01</t>
  </si>
  <si>
    <t xml:space="preserve">            type internal #Only for IRR-EAST apply following policies</t>
  </si>
  <si>
    <t xml:space="preserve">#Only for IRR-EAST </t>
  </si>
  <si>
    <t xml:space="preserve">#for IRR-EAST Use B40-02 system IP </t>
  </si>
  <si>
    <t xml:space="preserve">                prefix 172.31.0.0/16 </t>
  </si>
  <si>
    <t>#ONLY FOR IRR IP | EAST NODE ONLY HAS WEST IRR</t>
  </si>
  <si>
    <t>echo "QoS Policy Configuration"</t>
  </si>
  <si>
    <t xml:space="preserve">    qos</t>
  </si>
  <si>
    <t xml:space="preserve">        network-queue "40010" create</t>
  </si>
  <si>
    <t xml:space="preserve">            description "eNSESR Net Queue QOS Policy"</t>
  </si>
  <si>
    <t xml:space="preserve">            queue 1 create</t>
  </si>
  <si>
    <t xml:space="preserve">                rate 100 cir 3</t>
  </si>
  <si>
    <t xml:space="preserve">                mbs 50</t>
  </si>
  <si>
    <t xml:space="preserve">            queue 2 create</t>
  </si>
  <si>
    <t xml:space="preserve">                rate 100 cir 24</t>
  </si>
  <si>
    <t xml:space="preserve">            queue 3 create</t>
  </si>
  <si>
    <t xml:space="preserve">                rate 100 cir 1</t>
  </si>
  <si>
    <t xml:space="preserve">            queue 4 create</t>
  </si>
  <si>
    <t xml:space="preserve">            queue 5 create</t>
  </si>
  <si>
    <t xml:space="preserve">                rate 100 cir 8</t>
  </si>
  <si>
    <t xml:space="preserve">            queue 6 create</t>
  </si>
  <si>
    <t xml:space="preserve">                rate 100 cir 55</t>
  </si>
  <si>
    <t xml:space="preserve">            queue 7 create</t>
  </si>
  <si>
    <t xml:space="preserve">                rate 100 cir 5</t>
  </si>
  <si>
    <t xml:space="preserve">            queue 8 create</t>
  </si>
  <si>
    <t xml:space="preserve">            queue 9 multipoint create</t>
  </si>
  <si>
    <t xml:space="preserve">            fc af create</t>
  </si>
  <si>
    <t xml:space="preserve">                multicast-queue 9</t>
  </si>
  <si>
    <t xml:space="preserve">                queue 3</t>
  </si>
  <si>
    <t xml:space="preserve">            fc be create</t>
  </si>
  <si>
    <t xml:space="preserve">                queue 2</t>
  </si>
  <si>
    <t xml:space="preserve">            exit                      </t>
  </si>
  <si>
    <t xml:space="preserve">            fc ef create</t>
  </si>
  <si>
    <t xml:space="preserve">                queue 6</t>
  </si>
  <si>
    <t xml:space="preserve">            fc h1 create</t>
  </si>
  <si>
    <t xml:space="preserve">                queue 7</t>
  </si>
  <si>
    <t xml:space="preserve">            fc h2 create</t>
  </si>
  <si>
    <t xml:space="preserve">                queue 5</t>
  </si>
  <si>
    <t xml:space="preserve">            fc l1 create</t>
  </si>
  <si>
    <t xml:space="preserve">                queue 4</t>
  </si>
  <si>
    <t xml:space="preserve">            fc l2 create</t>
  </si>
  <si>
    <t xml:space="preserve">                queue 1</t>
  </si>
  <si>
    <t xml:space="preserve">            fc nc create</t>
  </si>
  <si>
    <t xml:space="preserve">                queue 8</t>
  </si>
  <si>
    <t>172.29.203.140</t>
  </si>
  <si>
    <t>172.29.203.137</t>
  </si>
  <si>
    <t>172.29.202.2</t>
  </si>
  <si>
    <t>172.29.202.4</t>
  </si>
  <si>
    <t>172.29.242.20</t>
  </si>
  <si>
    <t xml:space="preserve">     group "RR-5-ENSESR_AL"</t>
  </si>
  <si>
    <t xml:space="preserve">                 description "SEND MY LOOPBACK LABEL WITH SID"</t>
  </si>
  <si>
    <t xml:space="preserve">                 from</t>
  </si>
  <si>
    <t xml:space="preserve">                 to</t>
  </si>
  <si>
    <t xml:space="preserve">                 action accept</t>
  </si>
  <si>
    <t xml:space="preserve">                 description "SEND BGP LABELS"</t>
  </si>
  <si>
    <t xml:space="preserve">     exit</t>
  </si>
  <si>
    <t xml:space="preserve">                 description "SEND EVPN"</t>
  </si>
  <si>
    <t xml:space="preserve">                 action drop</t>
  </si>
  <si>
    <t xml:space="preserve">                 description "IMPORT LEARNED BGP LABELS"</t>
  </si>
  <si>
    <t xml:space="preserve">                 aigp-metric igp</t>
  </si>
  <si>
    <t xml:space="preserve">                 description "IMPORT LEARNED EVPN ROUTES"</t>
  </si>
  <si>
    <t xml:space="preserve">     group "RR-5-ENSESR_PEER"</t>
  </si>
  <si>
    <t xml:space="preserve">                 description "SEND LEARNED BGP LABELS"</t>
  </si>
  <si>
    <t xml:space="preserve">                 exit     </t>
  </si>
  <si>
    <t xml:space="preserve">                 description "SEND LEARNED EVPN ROUTES"</t>
  </si>
  <si>
    <t xml:space="preserve">                 description "PREVENT LOOPBACK FROM REFLECTING BACK"</t>
  </si>
  <si>
    <t xml:space="preserve">                 authentication-key "eNSEbgp"</t>
  </si>
  <si>
    <t xml:space="preserve">                 description "DROP DEFAULT ROUTE"</t>
  </si>
  <si>
    <t xml:space="preserve">                 description "IMPORT BGP LABELS"</t>
  </si>
  <si>
    <t xml:space="preserve">                 description "IMPORT EVPN ROUTES"</t>
  </si>
  <si>
    <t xml:space="preserve">     group "RR-5-ENSESR_CSR"</t>
  </si>
  <si>
    <t xml:space="preserve">     group "RR-5-ENSESR_EBH"</t>
  </si>
  <si>
    <t xml:space="preserve">     group "RR-5-ENSESR_IRR"</t>
  </si>
  <si>
    <t xml:space="preserve">                 prefix-list "PRFX_GLOBAL_LOOPBACK"</t>
  </si>
  <si>
    <t xml:space="preserve">cl </t>
  </si>
  <si>
    <t xml:space="preserve">              description "EXPORT ROUTES TO HUB ACCESS LEAFS"</t>
  </si>
  <si>
    <t xml:space="preserve">              entry 10</t>
  </si>
  <si>
    <t xml:space="preserve">#              description "iBGP-TO-&lt;B4A system name&gt;" </t>
  </si>
  <si>
    <t xml:space="preserve">              exit</t>
  </si>
  <si>
    <t xml:space="preserve">              authentication-key "eNSEbgp"</t>
  </si>
  <si>
    <t xml:space="preserve">              entry 30</t>
  </si>
  <si>
    <t xml:space="preserve">              entry 40</t>
  </si>
  <si>
    <t xml:space="preserve">              default-action drop</t>
  </si>
  <si>
    <t xml:space="preserve">              description "IMPORT ROUTES FROM HUB ACCESS LEAFS"</t>
  </si>
  <si>
    <t xml:space="preserve">              entry 5</t>
  </si>
  <si>
    <t xml:space="preserve">              entry 20</t>
  </si>
  <si>
    <t xml:space="preserve">              description "EXPORT ROUTES TO BORDER LEAF PEERS"</t>
  </si>
  <si>
    <t>#       cluster &lt;Local System IPv4 address&gt;</t>
  </si>
  <si>
    <t xml:space="preserve">#       neighbor &lt;B4B Peer System IPv4 address&gt; </t>
  </si>
  <si>
    <t xml:space="preserve">#              description "iBGP-TO-&lt;B4B Peer system name&gt;" </t>
  </si>
  <si>
    <t xml:space="preserve">              authentication-key "eNSEbgp" </t>
  </si>
  <si>
    <t xml:space="preserve">              description "IMPORT ROUTES FROM HUB BORDER LEAF PEERS"</t>
  </si>
  <si>
    <t xml:space="preserve">              default-action accept</t>
  </si>
  <si>
    <t xml:space="preserve">              description "EXPORT ROUTES TO ODD HUB BORDER LEAF PEERS"</t>
  </si>
  <si>
    <t xml:space="preserve">              description "Neighbor group for Odd B4B" </t>
  </si>
  <si>
    <t xml:space="preserve">              family evpn label-ipv4</t>
  </si>
  <si>
    <t xml:space="preserve">              type internal </t>
  </si>
  <si>
    <t xml:space="preserve">   #       cluster &lt;Local System IPv4 address&gt; </t>
  </si>
  <si>
    <t xml:space="preserve">              import "IMPORT_RR-5-ENSESR_IRRW-BL"</t>
  </si>
  <si>
    <t xml:space="preserve">              import "IMPORT_RR-5-ENSESR_IRRE-BL"</t>
  </si>
  <si>
    <t xml:space="preserve">              export "EXPORT_RR-5-ENSESR_IRRW-BL" </t>
  </si>
  <si>
    <t xml:space="preserve">              export "EXPORT_RR-5-ENSESR_IRRE-BL" </t>
  </si>
  <si>
    <t xml:space="preserve">              bfd-enable</t>
  </si>
  <si>
    <t xml:space="preserve">              aigp </t>
  </si>
  <si>
    <t xml:space="preserve">   #For IRRW add all odd B4B neighbors, and for IRRE add all even B4B neighbors </t>
  </si>
  <si>
    <t xml:space="preserve">   #For IRRE add all odd B4B neighbors, and for IRRE add all even B4B neighbors </t>
  </si>
  <si>
    <t xml:space="preserve">   #       neighbor &lt;B4B neighbor System IPv4 address&gt; </t>
  </si>
  <si>
    <t xml:space="preserve">   #              description "iBGP-TO-&lt;B4B neighbor system name&gt;" </t>
  </si>
  <si>
    <t xml:space="preserve">              description "IMPORT ROUTES FROM ODD HUB BORDER LEAFS"</t>
  </si>
  <si>
    <t xml:space="preserve">              description "EXPORT ROUTES TO RING CSRS"</t>
  </si>
  <si>
    <t xml:space="preserve">#       neighbor &lt;B4C neighbor System IPv4 address&gt; </t>
  </si>
  <si>
    <t xml:space="preserve">#              description "iBGP-TO-&lt;B4C neighbor system name&gt;" </t>
  </si>
  <si>
    <t xml:space="preserve">              description "IMPORT ROUTES FROM RING CSRS"</t>
  </si>
  <si>
    <t xml:space="preserve">              description "EXPORT ROUTES TO EBH ACCESS LEAF"</t>
  </si>
  <si>
    <t xml:space="preserve">#              description "iBGP-TO-&lt;EBH-AL system name&gt;" </t>
  </si>
  <si>
    <t xml:space="preserve">              description "IMPORT ROUTES FROM THE EBH ACCESS LEAF"</t>
  </si>
  <si>
    <t xml:space="preserve">              description "EXPORT ROUTES TO PEER IRR"</t>
  </si>
  <si>
    <t xml:space="preserve">#       neighbor &lt;IRRE System IPv4 address&gt; </t>
  </si>
  <si>
    <t xml:space="preserve">#              description "iBGP-TO-&lt;IRRE system name&gt;" </t>
  </si>
  <si>
    <t xml:space="preserve">              description "IMPORT ROUTES FROM IRR PEER"</t>
  </si>
  <si>
    <t xml:space="preserve">              exit  </t>
  </si>
  <si>
    <t xml:space="preserve">            exit       </t>
  </si>
  <si>
    <t>172.29.205.59</t>
  </si>
  <si>
    <t xml:space="preserve">                import "IMPORT_RR-5-ENSESR_IRRW-BL"</t>
  </si>
  <si>
    <t xml:space="preserve">                export "EXPORT_RR-5-ENSESR_IRRW-BL"</t>
  </si>
  <si>
    <t xml:space="preserve">            exit     </t>
  </si>
  <si>
    <t xml:space="preserve">#               neighbor &lt;B4B System ipv4 address&gt; </t>
  </si>
  <si>
    <t>## For Spokes to Host CSR</t>
  </si>
  <si>
    <t>172.29.158.143</t>
  </si>
  <si>
    <t>172.31.131.14</t>
  </si>
  <si>
    <t>172.29.158.153</t>
  </si>
  <si>
    <t>172.31.131.15</t>
  </si>
  <si>
    <t>172.29.158.150</t>
  </si>
  <si>
    <t>172.29.158.144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</si>
</sst>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8"/>
      <color theme="1"/>
      <name val="Lucida Console"/>
      <family val="3"/>
    </font>
    <font>
      <sz val="11"/>
      <color rgb="FF3F3F76"/>
      <name val="Calibri"/>
      <family val="2"/>
      <scheme val="minor"/>
    </font>
    <font>
      <b/>
      <sz val="8"/>
      <color rgb="FF3F3F76"/>
      <name val="Lucida Console"/>
      <family val="3"/>
    </font>
    <font>
      <b/>
      <sz val="8"/>
      <color theme="1"/>
      <name val="Lucida Console"/>
      <family val="3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Lucida Console"/>
      <family val="3"/>
    </font>
    <font>
      <b/>
      <sz val="9"/>
      <color theme="0"/>
      <name val="Lucida Console"/>
      <family val="3"/>
    </font>
    <font>
      <sz val="9"/>
      <color theme="1"/>
      <name val="Lucida Console"/>
      <family val="3"/>
    </font>
    <font>
      <sz val="9"/>
      <color rgb="FFFF0000"/>
      <name val="Lucida Console"/>
      <family val="3"/>
    </font>
    <font>
      <b/>
      <sz val="9"/>
      <color rgb="FFFF0000"/>
      <name val="Lucida Console"/>
      <family val="3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2"/>
      <color theme="0"/>
      <name val="Lucida Console"/>
      <family val="3"/>
    </font>
    <font>
      <b/>
      <sz val="12"/>
      <color theme="1"/>
      <name val="Lucida Console"/>
      <family val="3"/>
    </font>
    <font>
      <sz val="9"/>
      <name val="Lucida Console"/>
      <family val="3"/>
    </font>
    <font>
      <sz val="9"/>
      <name val="Consolas"/>
      <family val="3"/>
    </font>
    <font>
      <b/>
      <sz val="9"/>
      <name val="Lucida Console"/>
      <family val="3"/>
    </font>
    <font>
      <b/>
      <sz val="9"/>
      <name val="Consolas"/>
      <family val="3"/>
    </font>
    <font>
      <sz val="9"/>
      <name val="Calibri"/>
      <family val="2"/>
      <scheme val="minor"/>
    </font>
    <font>
      <b/>
      <sz val="11"/>
      <color theme="0"/>
      <name val="Lucida Console"/>
      <family val="3"/>
    </font>
  </fonts>
  <fills count="2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1F1F1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B2B2B2"/>
      </bottom>
      <diagonal/>
    </border>
    <border>
      <left style="medium">
        <color indexed="64"/>
      </left>
      <right/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18" borderId="7" applyNumberFormat="0" applyAlignment="0" applyProtection="0"/>
    <xf numFmtId="0" fontId="12" fillId="19" borderId="0" applyNumberFormat="0" applyBorder="0" applyAlignment="0" applyProtection="0"/>
  </cellStyleXfs>
  <cellXfs count="140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6" xfId="0" applyFont="1" applyBorder="1"/>
    <xf numFmtId="0" fontId="4" fillId="0" borderId="8" xfId="0" applyFont="1" applyBorder="1" applyAlignment="1">
      <alignment horizontal="center"/>
    </xf>
    <xf numFmtId="0" fontId="3" fillId="18" borderId="9" xfId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17" borderId="0" xfId="0" applyFont="1" applyFill="1" applyAlignment="1">
      <alignment horizontal="centerContinuous" vertical="justify"/>
    </xf>
    <xf numFmtId="0" fontId="9" fillId="17" borderId="0" xfId="0" applyFont="1" applyFill="1" applyAlignment="1">
      <alignment horizontal="centerContinuous"/>
    </xf>
    <xf numFmtId="0" fontId="9" fillId="0" borderId="0" xfId="0" applyFont="1"/>
    <xf numFmtId="0" fontId="9" fillId="0" borderId="2" xfId="0" applyFont="1" applyBorder="1"/>
    <xf numFmtId="0" fontId="9" fillId="0" borderId="0" xfId="0" applyFont="1" applyBorder="1"/>
    <xf numFmtId="0" fontId="9" fillId="0" borderId="3" xfId="0" applyFont="1" applyBorder="1"/>
    <xf numFmtId="0" fontId="9" fillId="0" borderId="6" xfId="0" applyFont="1" applyBorder="1"/>
    <xf numFmtId="0" fontId="7" fillId="4" borderId="0" xfId="0" applyFont="1" applyFill="1" applyAlignment="1">
      <alignment horizontal="center"/>
    </xf>
    <xf numFmtId="0" fontId="9" fillId="5" borderId="4" xfId="0" applyFont="1" applyFill="1" applyBorder="1"/>
    <xf numFmtId="0" fontId="9" fillId="5" borderId="2" xfId="0" applyFont="1" applyFill="1" applyBorder="1"/>
    <xf numFmtId="0" fontId="9" fillId="5" borderId="3" xfId="0" applyFont="1" applyFill="1" applyBorder="1"/>
    <xf numFmtId="0" fontId="7" fillId="0" borderId="0" xfId="0" applyFont="1" applyAlignment="1">
      <alignment horizontal="left"/>
    </xf>
    <xf numFmtId="0" fontId="10" fillId="0" borderId="0" xfId="0" applyFont="1"/>
    <xf numFmtId="0" fontId="9" fillId="5" borderId="5" xfId="0" applyFont="1" applyFill="1" applyBorder="1"/>
    <xf numFmtId="0" fontId="9" fillId="5" borderId="6" xfId="0" applyFont="1" applyFill="1" applyBorder="1"/>
    <xf numFmtId="0" fontId="7" fillId="3" borderId="0" xfId="0" applyFont="1" applyFill="1" applyAlignment="1">
      <alignment horizontal="center"/>
    </xf>
    <xf numFmtId="0" fontId="9" fillId="6" borderId="4" xfId="0" applyFont="1" applyFill="1" applyBorder="1"/>
    <xf numFmtId="0" fontId="9" fillId="6" borderId="2" xfId="0" applyFont="1" applyFill="1" applyBorder="1"/>
    <xf numFmtId="0" fontId="9" fillId="6" borderId="3" xfId="0" applyFont="1" applyFill="1" applyBorder="1"/>
    <xf numFmtId="0" fontId="9" fillId="6" borderId="6" xfId="0" applyFont="1" applyFill="1" applyBorder="1"/>
    <xf numFmtId="0" fontId="7" fillId="7" borderId="0" xfId="0" applyFont="1" applyFill="1" applyAlignment="1">
      <alignment horizontal="center"/>
    </xf>
    <xf numFmtId="0" fontId="9" fillId="8" borderId="2" xfId="0" applyFont="1" applyFill="1" applyBorder="1"/>
    <xf numFmtId="0" fontId="9" fillId="8" borderId="3" xfId="0" applyFont="1" applyFill="1" applyBorder="1"/>
    <xf numFmtId="0" fontId="9" fillId="6" borderId="5" xfId="0" applyFont="1" applyFill="1" applyBorder="1"/>
    <xf numFmtId="0" fontId="9" fillId="8" borderId="4" xfId="0" applyFont="1" applyFill="1" applyBorder="1"/>
    <xf numFmtId="0" fontId="11" fillId="0" borderId="0" xfId="0" applyFont="1"/>
    <xf numFmtId="0" fontId="9" fillId="8" borderId="6" xfId="0" applyFont="1" applyFill="1" applyBorder="1"/>
    <xf numFmtId="0" fontId="8" fillId="9" borderId="0" xfId="0" applyFont="1" applyFill="1" applyAlignment="1">
      <alignment horizontal="center"/>
    </xf>
    <xf numFmtId="0" fontId="9" fillId="10" borderId="3" xfId="0" applyFont="1" applyFill="1" applyBorder="1"/>
    <xf numFmtId="0" fontId="9" fillId="10" borderId="2" xfId="0" applyFont="1" applyFill="1" applyBorder="1"/>
    <xf numFmtId="0" fontId="9" fillId="8" borderId="5" xfId="0" applyFont="1" applyFill="1" applyBorder="1"/>
    <xf numFmtId="0" fontId="9" fillId="10" borderId="4" xfId="0" applyFont="1" applyFill="1" applyBorder="1"/>
    <xf numFmtId="0" fontId="9" fillId="0" borderId="0" xfId="0" applyFont="1" applyAlignment="1">
      <alignment horizontal="left"/>
    </xf>
    <xf numFmtId="0" fontId="9" fillId="10" borderId="5" xfId="0" applyFont="1" applyFill="1" applyBorder="1"/>
    <xf numFmtId="0" fontId="8" fillId="11" borderId="0" xfId="0" applyFont="1" applyFill="1" applyAlignment="1">
      <alignment horizontal="center"/>
    </xf>
    <xf numFmtId="0" fontId="9" fillId="12" borderId="4" xfId="0" applyFont="1" applyFill="1" applyBorder="1"/>
    <xf numFmtId="0" fontId="9" fillId="12" borderId="3" xfId="0" applyFont="1" applyFill="1" applyBorder="1"/>
    <xf numFmtId="0" fontId="9" fillId="10" borderId="6" xfId="0" applyFont="1" applyFill="1" applyBorder="1"/>
    <xf numFmtId="0" fontId="7" fillId="14" borderId="0" xfId="0" applyFont="1" applyFill="1" applyAlignment="1">
      <alignment horizontal="center"/>
    </xf>
    <xf numFmtId="0" fontId="9" fillId="15" borderId="2" xfId="0" applyFont="1" applyFill="1" applyBorder="1"/>
    <xf numFmtId="0" fontId="9" fillId="15" borderId="3" xfId="0" applyFont="1" applyFill="1" applyBorder="1"/>
    <xf numFmtId="0" fontId="0" fillId="0" borderId="0" xfId="0" applyAlignment="1">
      <alignment horizontal="center"/>
    </xf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15" fillId="11" borderId="0" xfId="0" applyFont="1" applyFill="1" applyAlignment="1">
      <alignment horizontal="center"/>
    </xf>
    <xf numFmtId="0" fontId="15" fillId="20" borderId="0" xfId="0" applyFont="1" applyFill="1" applyAlignment="1">
      <alignment horizontal="center"/>
    </xf>
    <xf numFmtId="0" fontId="14" fillId="7" borderId="0" xfId="0" applyFont="1" applyFill="1" applyAlignment="1">
      <alignment horizontal="center"/>
    </xf>
    <xf numFmtId="0" fontId="15" fillId="21" borderId="0" xfId="0" applyFont="1" applyFill="1"/>
    <xf numFmtId="0" fontId="0" fillId="22" borderId="0" xfId="0" applyFont="1" applyFill="1"/>
    <xf numFmtId="0" fontId="13" fillId="2" borderId="0" xfId="0" applyFont="1" applyFill="1" applyAlignment="1">
      <alignment horizontal="centerContinuous"/>
    </xf>
    <xf numFmtId="0" fontId="14" fillId="7" borderId="0" xfId="0" applyFont="1" applyFill="1" applyAlignment="1">
      <alignment horizontal="centerContinuous"/>
    </xf>
    <xf numFmtId="0" fontId="0" fillId="23" borderId="0" xfId="0" applyFill="1"/>
    <xf numFmtId="0" fontId="0" fillId="23" borderId="0" xfId="0" applyFill="1" applyAlignment="1">
      <alignment horizontal="center"/>
    </xf>
    <xf numFmtId="0" fontId="2" fillId="18" borderId="16" xfId="1" applyBorder="1"/>
    <xf numFmtId="0" fontId="16" fillId="19" borderId="15" xfId="2" applyFont="1" applyBorder="1"/>
    <xf numFmtId="0" fontId="2" fillId="8" borderId="16" xfId="1" applyFill="1" applyBorder="1"/>
    <xf numFmtId="0" fontId="16" fillId="23" borderId="15" xfId="2" applyFont="1" applyFill="1" applyBorder="1"/>
    <xf numFmtId="0" fontId="2" fillId="23" borderId="16" xfId="1" applyFill="1" applyBorder="1"/>
    <xf numFmtId="0" fontId="5" fillId="23" borderId="0" xfId="0" applyFont="1" applyFill="1"/>
    <xf numFmtId="0" fontId="0" fillId="23" borderId="11" xfId="0" applyFill="1" applyBorder="1"/>
    <xf numFmtId="0" fontId="0" fillId="23" borderId="0" xfId="0" applyFill="1" applyBorder="1"/>
    <xf numFmtId="0" fontId="0" fillId="23" borderId="14" xfId="0" applyFill="1" applyBorder="1"/>
    <xf numFmtId="0" fontId="0" fillId="0" borderId="0" xfId="0" applyFill="1" applyAlignment="1">
      <alignment horizontal="centerContinuous"/>
    </xf>
    <xf numFmtId="0" fontId="17" fillId="24" borderId="15" xfId="2" applyFont="1" applyFill="1" applyBorder="1"/>
    <xf numFmtId="0" fontId="16" fillId="19" borderId="17" xfId="2" applyFont="1" applyBorder="1"/>
    <xf numFmtId="0" fontId="2" fillId="18" borderId="18" xfId="1" applyBorder="1"/>
    <xf numFmtId="0" fontId="17" fillId="24" borderId="17" xfId="2" applyFont="1" applyFill="1" applyBorder="1"/>
    <xf numFmtId="0" fontId="2" fillId="18" borderId="18" xfId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6" fillId="0" borderId="3" xfId="0" applyFont="1" applyBorder="1" applyAlignment="1">
      <alignment horizontal="centerContinuous"/>
    </xf>
    <xf numFmtId="0" fontId="5" fillId="0" borderId="3" xfId="0" applyFont="1" applyBorder="1"/>
    <xf numFmtId="0" fontId="0" fillId="0" borderId="6" xfId="0" applyBorder="1"/>
    <xf numFmtId="0" fontId="5" fillId="0" borderId="3" xfId="0" applyFont="1" applyBorder="1" applyAlignment="1">
      <alignment horizontal="centerContinuous"/>
    </xf>
    <xf numFmtId="0" fontId="16" fillId="19" borderId="19" xfId="2" applyFont="1" applyBorder="1"/>
    <xf numFmtId="0" fontId="2" fillId="18" borderId="9" xfId="1" applyBorder="1"/>
    <xf numFmtId="0" fontId="17" fillId="24" borderId="19" xfId="2" applyFont="1" applyFill="1" applyBorder="1"/>
    <xf numFmtId="0" fontId="5" fillId="0" borderId="21" xfId="0" applyFont="1" applyBorder="1"/>
    <xf numFmtId="0" fontId="5" fillId="0" borderId="22" xfId="0" applyFont="1" applyBorder="1"/>
    <xf numFmtId="0" fontId="5" fillId="0" borderId="20" xfId="0" applyFont="1" applyBorder="1"/>
    <xf numFmtId="0" fontId="5" fillId="0" borderId="20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9" fillId="4" borderId="0" xfId="0" applyFont="1" applyFill="1"/>
    <xf numFmtId="0" fontId="2" fillId="18" borderId="7" xfId="1" applyAlignment="1">
      <alignment vertical="center"/>
    </xf>
    <xf numFmtId="0" fontId="18" fillId="25" borderId="0" xfId="0" applyFont="1" applyFill="1" applyAlignment="1">
      <alignment horizontal="centerContinuous"/>
    </xf>
    <xf numFmtId="0" fontId="19" fillId="2" borderId="1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18" fillId="11" borderId="1" xfId="0" applyFont="1" applyFill="1" applyBorder="1" applyAlignment="1">
      <alignment horizontal="center"/>
    </xf>
    <xf numFmtId="0" fontId="18" fillId="16" borderId="1" xfId="0" applyFont="1" applyFill="1" applyBorder="1" applyAlignment="1">
      <alignment horizontal="center"/>
    </xf>
    <xf numFmtId="0" fontId="18" fillId="16" borderId="0" xfId="0" applyFont="1" applyFill="1" applyBorder="1" applyAlignment="1">
      <alignment horizontal="center"/>
    </xf>
    <xf numFmtId="0" fontId="18" fillId="13" borderId="1" xfId="0" applyFont="1" applyFill="1" applyBorder="1" applyAlignment="1">
      <alignment horizontal="center"/>
    </xf>
    <xf numFmtId="0" fontId="19" fillId="0" borderId="0" xfId="0" applyFont="1"/>
    <xf numFmtId="0" fontId="20" fillId="5" borderId="2" xfId="0" applyFont="1" applyFill="1" applyBorder="1"/>
    <xf numFmtId="0" fontId="20" fillId="5" borderId="3" xfId="0" applyFont="1" applyFill="1" applyBorder="1"/>
    <xf numFmtId="0" fontId="20" fillId="6" borderId="2" xfId="0" applyFont="1" applyFill="1" applyBorder="1"/>
    <xf numFmtId="0" fontId="20" fillId="6" borderId="3" xfId="0" applyFont="1" applyFill="1" applyBorder="1"/>
    <xf numFmtId="0" fontId="20" fillId="6" borderId="6" xfId="0" applyFont="1" applyFill="1" applyBorder="1"/>
    <xf numFmtId="0" fontId="20" fillId="8" borderId="2" xfId="0" applyFont="1" applyFill="1" applyBorder="1"/>
    <xf numFmtId="0" fontId="20" fillId="8" borderId="3" xfId="0" applyFont="1" applyFill="1" applyBorder="1"/>
    <xf numFmtId="0" fontId="20" fillId="8" borderId="6" xfId="0" applyFont="1" applyFill="1" applyBorder="1"/>
    <xf numFmtId="0" fontId="20" fillId="10" borderId="2" xfId="0" applyFont="1" applyFill="1" applyBorder="1"/>
    <xf numFmtId="0" fontId="20" fillId="10" borderId="3" xfId="0" applyFont="1" applyFill="1" applyBorder="1"/>
    <xf numFmtId="0" fontId="20" fillId="10" borderId="6" xfId="0" applyFont="1" applyFill="1" applyBorder="1"/>
    <xf numFmtId="0" fontId="21" fillId="0" borderId="0" xfId="0" applyFont="1" applyAlignment="1">
      <alignment vertical="center"/>
    </xf>
    <xf numFmtId="0" fontId="20" fillId="0" borderId="0" xfId="0" applyFont="1"/>
    <xf numFmtId="0" fontId="21" fillId="0" borderId="2" xfId="0" applyFont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7" fillId="0" borderId="0" xfId="0" applyFont="1" applyBorder="1" applyAlignment="1">
      <alignment horizontal="center"/>
    </xf>
    <xf numFmtId="0" fontId="2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7" fillId="28" borderId="0" xfId="0" applyFont="1" applyFill="1" applyAlignment="1">
      <alignment horizontal="center"/>
    </xf>
    <xf numFmtId="0" fontId="7" fillId="27" borderId="0" xfId="0" applyFont="1" applyFill="1" applyAlignment="1">
      <alignment horizontal="center"/>
    </xf>
    <xf numFmtId="0" fontId="23" fillId="0" borderId="0" xfId="0" applyFont="1" applyAlignment="1">
      <alignment vertical="center"/>
    </xf>
    <xf numFmtId="0" fontId="24" fillId="26" borderId="0" xfId="0" applyFont="1" applyFill="1" applyAlignment="1">
      <alignment vertical="center"/>
    </xf>
    <xf numFmtId="0" fontId="20" fillId="7" borderId="2" xfId="0" applyFont="1" applyFill="1" applyBorder="1" applyAlignment="1">
      <alignment vertical="center"/>
    </xf>
    <xf numFmtId="0" fontId="20" fillId="7" borderId="3" xfId="0" applyFont="1" applyFill="1" applyBorder="1" applyAlignment="1">
      <alignment vertical="center"/>
    </xf>
    <xf numFmtId="0" fontId="20" fillId="7" borderId="6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20" fillId="2" borderId="3" xfId="0" applyFont="1" applyFill="1" applyBorder="1" applyAlignment="1">
      <alignment vertical="center"/>
    </xf>
    <xf numFmtId="0" fontId="20" fillId="2" borderId="6" xfId="0" applyFont="1" applyFill="1" applyBorder="1" applyAlignment="1">
      <alignment vertical="center"/>
    </xf>
    <xf numFmtId="0" fontId="25" fillId="16" borderId="0" xfId="0" applyFont="1" applyFill="1" applyBorder="1" applyAlignment="1">
      <alignment horizontal="center"/>
    </xf>
    <xf numFmtId="0" fontId="1" fillId="8" borderId="20" xfId="0" applyFont="1" applyFill="1" applyBorder="1"/>
    <xf numFmtId="0" fontId="1" fillId="8" borderId="21" xfId="0" applyFont="1" applyFill="1" applyBorder="1"/>
    <xf numFmtId="0" fontId="1" fillId="8" borderId="22" xfId="0" applyFont="1" applyFill="1" applyBorder="1"/>
  </cellXfs>
  <cellStyles count="3">
    <cellStyle name="Good" xfId="2" builtinId="26"/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50</xdr:row>
      <xdr:rowOff>0</xdr:rowOff>
    </xdr:from>
    <xdr:to>
      <xdr:col>4</xdr:col>
      <xdr:colOff>304800</xdr:colOff>
      <xdr:row>51</xdr:row>
      <xdr:rowOff>119803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1C795853-3D26-4AB8-899B-0C9E3C940CC0}"/>
            </a:ext>
          </a:extLst>
        </xdr:cNvPr>
        <xdr:cNvSpPr>
          <a:spLocks noChangeAspect="1" noChangeArrowheads="1"/>
        </xdr:cNvSpPr>
      </xdr:nvSpPr>
      <xdr:spPr bwMode="auto">
        <a:xfrm>
          <a:off x="7315200" y="918591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633332</xdr:colOff>
      <xdr:row>47</xdr:row>
      <xdr:rowOff>69273</xdr:rowOff>
    </xdr:from>
    <xdr:to>
      <xdr:col>8</xdr:col>
      <xdr:colOff>7364</xdr:colOff>
      <xdr:row>112</xdr:row>
      <xdr:rowOff>33853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414A6F-D434-4E8C-8A19-565CC2FCE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332" y="8751455"/>
          <a:ext cx="18970159" cy="119697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A874-EF26-4F95-94AD-3764D7B6518A}">
  <dimension ref="A1"/>
  <sheetViews>
    <sheetView workbookViewId="0">
      <selection activeCell="A2" sqref="A2"/>
    </sheetView>
  </sheetViews>
  <sheetFormatPr defaultRowHeight="14.35" x14ac:dyDescent="0.5"/>
  <cols>
    <col min="1" max="1" width="13.3515625" bestFit="1" customWidth="1"/>
  </cols>
  <sheetData>
    <row r="1" spans="1:1" x14ac:dyDescent="0.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A128C-51E9-4B97-A7BA-B6C12C8DD3C1}">
  <dimension ref="A1:A69"/>
  <sheetViews>
    <sheetView zoomScaleNormal="100" workbookViewId="0">
      <selection activeCell="A5" sqref="A5:A67"/>
    </sheetView>
  </sheetViews>
  <sheetFormatPr defaultRowHeight="14.35" x14ac:dyDescent="0.5"/>
  <cols>
    <col min="1" max="1" width="49.87890625" bestFit="1" customWidth="1"/>
  </cols>
  <sheetData>
    <row r="1" spans="1:1" x14ac:dyDescent="0.5">
      <c r="A1" s="1" t="s">
        <v>102</v>
      </c>
    </row>
    <row r="2" spans="1:1" x14ac:dyDescent="0.5">
      <c r="A2" s="1" t="s">
        <v>575</v>
      </c>
    </row>
    <row r="3" spans="1:1" x14ac:dyDescent="0.5">
      <c r="A3" s="1" t="s">
        <v>102</v>
      </c>
    </row>
    <row r="4" spans="1:1" x14ac:dyDescent="0.5">
      <c r="A4" s="1" t="s">
        <v>576</v>
      </c>
    </row>
    <row r="5" spans="1:1" x14ac:dyDescent="0.5">
      <c r="A5" s="137" t="s">
        <v>577</v>
      </c>
    </row>
    <row r="6" spans="1:1" x14ac:dyDescent="0.5">
      <c r="A6" s="138" t="s">
        <v>578</v>
      </c>
    </row>
    <row r="7" spans="1:1" x14ac:dyDescent="0.5">
      <c r="A7" s="138" t="s">
        <v>579</v>
      </c>
    </row>
    <row r="8" spans="1:1" x14ac:dyDescent="0.5">
      <c r="A8" s="138" t="s">
        <v>580</v>
      </c>
    </row>
    <row r="9" spans="1:1" x14ac:dyDescent="0.5">
      <c r="A9" s="138" t="s">
        <v>581</v>
      </c>
    </row>
    <row r="10" spans="1:1" x14ac:dyDescent="0.5">
      <c r="A10" s="138" t="s">
        <v>7</v>
      </c>
    </row>
    <row r="11" spans="1:1" x14ac:dyDescent="0.5">
      <c r="A11" s="138" t="s">
        <v>582</v>
      </c>
    </row>
    <row r="12" spans="1:1" x14ac:dyDescent="0.5">
      <c r="A12" s="138" t="s">
        <v>583</v>
      </c>
    </row>
    <row r="13" spans="1:1" x14ac:dyDescent="0.5">
      <c r="A13" s="138" t="s">
        <v>7</v>
      </c>
    </row>
    <row r="14" spans="1:1" x14ac:dyDescent="0.5">
      <c r="A14" s="138" t="s">
        <v>584</v>
      </c>
    </row>
    <row r="15" spans="1:1" x14ac:dyDescent="0.5">
      <c r="A15" s="138" t="s">
        <v>585</v>
      </c>
    </row>
    <row r="16" spans="1:1" x14ac:dyDescent="0.5">
      <c r="A16" s="138" t="s">
        <v>7</v>
      </c>
    </row>
    <row r="17" spans="1:1" x14ac:dyDescent="0.5">
      <c r="A17" s="138" t="s">
        <v>586</v>
      </c>
    </row>
    <row r="18" spans="1:1" x14ac:dyDescent="0.5">
      <c r="A18" s="138" t="s">
        <v>580</v>
      </c>
    </row>
    <row r="19" spans="1:1" x14ac:dyDescent="0.5">
      <c r="A19" s="138" t="s">
        <v>7</v>
      </c>
    </row>
    <row r="20" spans="1:1" x14ac:dyDescent="0.5">
      <c r="A20" s="138" t="s">
        <v>587</v>
      </c>
    </row>
    <row r="21" spans="1:1" x14ac:dyDescent="0.5">
      <c r="A21" s="138" t="s">
        <v>588</v>
      </c>
    </row>
    <row r="22" spans="1:1" x14ac:dyDescent="0.5">
      <c r="A22" s="138" t="s">
        <v>7</v>
      </c>
    </row>
    <row r="23" spans="1:1" x14ac:dyDescent="0.5">
      <c r="A23" s="138" t="s">
        <v>589</v>
      </c>
    </row>
    <row r="24" spans="1:1" x14ac:dyDescent="0.5">
      <c r="A24" s="138" t="s">
        <v>590</v>
      </c>
    </row>
    <row r="25" spans="1:1" x14ac:dyDescent="0.5">
      <c r="A25" s="138" t="s">
        <v>7</v>
      </c>
    </row>
    <row r="26" spans="1:1" x14ac:dyDescent="0.5">
      <c r="A26" s="138" t="s">
        <v>591</v>
      </c>
    </row>
    <row r="27" spans="1:1" x14ac:dyDescent="0.5">
      <c r="A27" s="138" t="s">
        <v>592</v>
      </c>
    </row>
    <row r="28" spans="1:1" x14ac:dyDescent="0.5">
      <c r="A28" s="138" t="s">
        <v>7</v>
      </c>
    </row>
    <row r="29" spans="1:1" x14ac:dyDescent="0.5">
      <c r="A29" s="138" t="s">
        <v>593</v>
      </c>
    </row>
    <row r="30" spans="1:1" x14ac:dyDescent="0.5">
      <c r="A30" s="138" t="s">
        <v>585</v>
      </c>
    </row>
    <row r="31" spans="1:1" x14ac:dyDescent="0.5">
      <c r="A31" s="138" t="s">
        <v>7</v>
      </c>
    </row>
    <row r="32" spans="1:1" x14ac:dyDescent="0.5">
      <c r="A32" s="138" t="s">
        <v>594</v>
      </c>
    </row>
    <row r="33" spans="1:1" x14ac:dyDescent="0.5">
      <c r="A33" s="138" t="s">
        <v>581</v>
      </c>
    </row>
    <row r="34" spans="1:1" x14ac:dyDescent="0.5">
      <c r="A34" s="138" t="s">
        <v>7</v>
      </c>
    </row>
    <row r="35" spans="1:1" x14ac:dyDescent="0.5">
      <c r="A35" s="138" t="s">
        <v>595</v>
      </c>
    </row>
    <row r="36" spans="1:1" x14ac:dyDescent="0.5">
      <c r="A36" s="138" t="s">
        <v>596</v>
      </c>
    </row>
    <row r="37" spans="1:1" x14ac:dyDescent="0.5">
      <c r="A37" s="138" t="s">
        <v>597</v>
      </c>
    </row>
    <row r="38" spans="1:1" x14ac:dyDescent="0.5">
      <c r="A38" s="138" t="s">
        <v>7</v>
      </c>
    </row>
    <row r="39" spans="1:1" x14ac:dyDescent="0.5">
      <c r="A39" s="138" t="s">
        <v>598</v>
      </c>
    </row>
    <row r="40" spans="1:1" x14ac:dyDescent="0.5">
      <c r="A40" s="138" t="s">
        <v>596</v>
      </c>
    </row>
    <row r="41" spans="1:1" x14ac:dyDescent="0.5">
      <c r="A41" s="138" t="s">
        <v>599</v>
      </c>
    </row>
    <row r="42" spans="1:1" x14ac:dyDescent="0.5">
      <c r="A42" s="138" t="s">
        <v>600</v>
      </c>
    </row>
    <row r="43" spans="1:1" x14ac:dyDescent="0.5">
      <c r="A43" s="138" t="s">
        <v>601</v>
      </c>
    </row>
    <row r="44" spans="1:1" x14ac:dyDescent="0.5">
      <c r="A44" s="138" t="s">
        <v>596</v>
      </c>
    </row>
    <row r="45" spans="1:1" x14ac:dyDescent="0.5">
      <c r="A45" s="138" t="s">
        <v>602</v>
      </c>
    </row>
    <row r="46" spans="1:1" x14ac:dyDescent="0.5">
      <c r="A46" s="138" t="s">
        <v>7</v>
      </c>
    </row>
    <row r="47" spans="1:1" x14ac:dyDescent="0.5">
      <c r="A47" s="138" t="s">
        <v>603</v>
      </c>
    </row>
    <row r="48" spans="1:1" x14ac:dyDescent="0.5">
      <c r="A48" s="138" t="s">
        <v>596</v>
      </c>
    </row>
    <row r="49" spans="1:1" x14ac:dyDescent="0.5">
      <c r="A49" s="138" t="s">
        <v>604</v>
      </c>
    </row>
    <row r="50" spans="1:1" x14ac:dyDescent="0.5">
      <c r="A50" s="138" t="s">
        <v>7</v>
      </c>
    </row>
    <row r="51" spans="1:1" x14ac:dyDescent="0.5">
      <c r="A51" s="138" t="s">
        <v>605</v>
      </c>
    </row>
    <row r="52" spans="1:1" x14ac:dyDescent="0.5">
      <c r="A52" s="138" t="s">
        <v>596</v>
      </c>
    </row>
    <row r="53" spans="1:1" x14ac:dyDescent="0.5">
      <c r="A53" s="138" t="s">
        <v>606</v>
      </c>
    </row>
    <row r="54" spans="1:1" x14ac:dyDescent="0.5">
      <c r="A54" s="138" t="s">
        <v>7</v>
      </c>
    </row>
    <row r="55" spans="1:1" x14ac:dyDescent="0.5">
      <c r="A55" s="138" t="s">
        <v>607</v>
      </c>
    </row>
    <row r="56" spans="1:1" x14ac:dyDescent="0.5">
      <c r="A56" s="138" t="s">
        <v>596</v>
      </c>
    </row>
    <row r="57" spans="1:1" x14ac:dyDescent="0.5">
      <c r="A57" s="138" t="s">
        <v>608</v>
      </c>
    </row>
    <row r="58" spans="1:1" x14ac:dyDescent="0.5">
      <c r="A58" s="138" t="s">
        <v>7</v>
      </c>
    </row>
    <row r="59" spans="1:1" x14ac:dyDescent="0.5">
      <c r="A59" s="138" t="s">
        <v>609</v>
      </c>
    </row>
    <row r="60" spans="1:1" x14ac:dyDescent="0.5">
      <c r="A60" s="138" t="s">
        <v>596</v>
      </c>
    </row>
    <row r="61" spans="1:1" x14ac:dyDescent="0.5">
      <c r="A61" s="138" t="s">
        <v>610</v>
      </c>
    </row>
    <row r="62" spans="1:1" x14ac:dyDescent="0.5">
      <c r="A62" s="138" t="s">
        <v>7</v>
      </c>
    </row>
    <row r="63" spans="1:1" x14ac:dyDescent="0.5">
      <c r="A63" s="138" t="s">
        <v>611</v>
      </c>
    </row>
    <row r="64" spans="1:1" x14ac:dyDescent="0.5">
      <c r="A64" s="138" t="s">
        <v>596</v>
      </c>
    </row>
    <row r="65" spans="1:1" x14ac:dyDescent="0.5">
      <c r="A65" s="138" t="s">
        <v>612</v>
      </c>
    </row>
    <row r="66" spans="1:1" x14ac:dyDescent="0.5">
      <c r="A66" s="138" t="s">
        <v>7</v>
      </c>
    </row>
    <row r="67" spans="1:1" x14ac:dyDescent="0.5">
      <c r="A67" s="139" t="s">
        <v>14</v>
      </c>
    </row>
    <row r="68" spans="1:1" x14ac:dyDescent="0.5">
      <c r="A68" s="1" t="s">
        <v>15</v>
      </c>
    </row>
    <row r="69" spans="1:1" x14ac:dyDescent="0.5">
      <c r="A69" s="1" t="s">
        <v>102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E7714-9671-4CBF-A436-38156D9BEE24}">
  <dimension ref="B1:S148"/>
  <sheetViews>
    <sheetView tabSelected="1" zoomScale="70" zoomScaleNormal="70" workbookViewId="0">
      <pane xSplit="1" ySplit="2" topLeftCell="B48" activePane="bottomRight" state="frozen"/>
      <selection pane="topRight" activeCell="B1" sqref="B1"/>
      <selection pane="bottomLeft" activeCell="A3" sqref="A3"/>
      <selection pane="bottomRight" activeCell="L5" sqref="L5"/>
    </sheetView>
  </sheetViews>
  <sheetFormatPr defaultRowHeight="14.35" x14ac:dyDescent="0.5"/>
  <cols>
    <col min="1" max="1" width="8.76171875" customWidth="1"/>
    <col min="2" max="2" width="77.76171875" bestFit="1" customWidth="1"/>
    <col min="3" max="3" width="22.17578125" customWidth="1"/>
    <col min="4" max="4" width="1.1171875" customWidth="1"/>
    <col min="5" max="5" width="67.234375" bestFit="1" customWidth="1"/>
    <col min="6" max="6" width="22.52734375" customWidth="1"/>
    <col min="7" max="7" width="1.1171875" customWidth="1"/>
    <col min="8" max="8" width="70.17578125" bestFit="1" customWidth="1"/>
    <col min="9" max="9" width="13.87890625" customWidth="1"/>
    <col min="10" max="10" width="1.1171875" customWidth="1"/>
    <col min="11" max="11" width="71.46875" bestFit="1" customWidth="1"/>
    <col min="12" max="12" width="13.87890625" bestFit="1" customWidth="1"/>
    <col min="13" max="13" width="1.1171875" customWidth="1"/>
    <col min="14" max="14" width="18.703125" bestFit="1" customWidth="1"/>
    <col min="15" max="15" width="92.1171875" customWidth="1"/>
    <col min="16" max="16" width="1" customWidth="1"/>
    <col min="17" max="17" width="92.1171875" bestFit="1" customWidth="1"/>
    <col min="18" max="19" width="18.3515625" bestFit="1" customWidth="1"/>
  </cols>
  <sheetData>
    <row r="1" spans="2:19" x14ac:dyDescent="0.5">
      <c r="B1" s="55" t="s">
        <v>431</v>
      </c>
      <c r="D1" s="62"/>
      <c r="E1" s="56" t="s">
        <v>432</v>
      </c>
      <c r="G1" s="62"/>
      <c r="H1" s="59" t="s">
        <v>368</v>
      </c>
      <c r="J1" s="62"/>
      <c r="K1" s="58" t="s">
        <v>367</v>
      </c>
      <c r="M1" s="62"/>
      <c r="O1" s="60" t="s">
        <v>438</v>
      </c>
      <c r="P1" s="60"/>
      <c r="Q1" s="60"/>
    </row>
    <row r="2" spans="2:19" ht="14.7" thickBot="1" x14ac:dyDescent="0.55000000000000004">
      <c r="B2" s="57" t="s">
        <v>352</v>
      </c>
      <c r="C2" s="49"/>
      <c r="D2" s="63"/>
      <c r="E2" s="57" t="s">
        <v>356</v>
      </c>
      <c r="F2" s="49"/>
      <c r="G2" s="63"/>
      <c r="H2" s="57" t="s">
        <v>355</v>
      </c>
      <c r="I2" s="49"/>
      <c r="J2" s="63"/>
      <c r="K2" s="57" t="s">
        <v>353</v>
      </c>
      <c r="L2" s="49"/>
      <c r="M2" s="63"/>
      <c r="N2" s="49"/>
      <c r="O2" s="61" t="s">
        <v>354</v>
      </c>
      <c r="P2" s="61"/>
      <c r="Q2" s="61"/>
    </row>
    <row r="3" spans="2:19" ht="14.7" thickBot="1" x14ac:dyDescent="0.55000000000000004">
      <c r="D3" s="62"/>
      <c r="G3" s="62"/>
      <c r="J3" s="62"/>
      <c r="K3" s="49"/>
      <c r="M3" s="62"/>
      <c r="O3" s="65" t="s">
        <v>417</v>
      </c>
      <c r="P3" s="67"/>
      <c r="Q3" s="65" t="s">
        <v>420</v>
      </c>
    </row>
    <row r="4" spans="2:19" ht="14.7" thickBot="1" x14ac:dyDescent="0.55000000000000004">
      <c r="B4" s="90" t="s">
        <v>360</v>
      </c>
      <c r="C4" s="85" t="s">
        <v>412</v>
      </c>
      <c r="D4" s="62"/>
      <c r="E4" s="90" t="s">
        <v>370</v>
      </c>
      <c r="F4" s="85" t="s">
        <v>414</v>
      </c>
      <c r="G4" s="62"/>
      <c r="H4" s="90" t="s">
        <v>386</v>
      </c>
      <c r="I4" s="85" t="s">
        <v>416</v>
      </c>
      <c r="J4" s="62"/>
      <c r="K4" s="91" t="s">
        <v>359</v>
      </c>
      <c r="L4" s="85" t="s">
        <v>416</v>
      </c>
      <c r="M4" s="62"/>
      <c r="O4" s="86" t="s">
        <v>616</v>
      </c>
      <c r="P4" s="68"/>
      <c r="Q4" s="66" t="s">
        <v>617</v>
      </c>
    </row>
    <row r="5" spans="2:19" ht="14.7" thickBot="1" x14ac:dyDescent="0.55000000000000004">
      <c r="B5" s="88" t="s">
        <v>378</v>
      </c>
      <c r="C5" s="86" t="s">
        <v>697</v>
      </c>
      <c r="D5" s="62"/>
      <c r="E5" s="88" t="s">
        <v>380</v>
      </c>
      <c r="F5" s="86" t="s">
        <v>701</v>
      </c>
      <c r="G5" s="62"/>
      <c r="H5" s="88" t="s">
        <v>357</v>
      </c>
      <c r="I5" s="86" t="s">
        <v>702</v>
      </c>
      <c r="J5" s="62"/>
      <c r="K5" s="92" t="s">
        <v>358</v>
      </c>
      <c r="L5" s="86" t="s">
        <v>697</v>
      </c>
      <c r="M5" s="62"/>
      <c r="O5" s="74" t="s">
        <v>418</v>
      </c>
      <c r="P5" s="67"/>
      <c r="Q5" s="74" t="s">
        <v>419</v>
      </c>
    </row>
    <row r="6" spans="2:19" ht="14.7" thickBot="1" x14ac:dyDescent="0.55000000000000004">
      <c r="B6" s="88" t="s">
        <v>379</v>
      </c>
      <c r="C6" s="87" t="s">
        <v>413</v>
      </c>
      <c r="D6" s="62"/>
      <c r="E6" s="88" t="s">
        <v>381</v>
      </c>
      <c r="F6" s="87" t="s">
        <v>415</v>
      </c>
      <c r="G6" s="62"/>
      <c r="H6" s="88" t="s">
        <v>382</v>
      </c>
      <c r="I6" s="87" t="s">
        <v>436</v>
      </c>
      <c r="J6" s="62"/>
      <c r="K6" s="92" t="s">
        <v>361</v>
      </c>
      <c r="L6" s="87" t="s">
        <v>437</v>
      </c>
      <c r="M6" s="62"/>
      <c r="O6" s="64" t="s">
        <v>613</v>
      </c>
      <c r="P6" s="68"/>
      <c r="Q6" s="66" t="s">
        <v>614</v>
      </c>
    </row>
    <row r="7" spans="2:19" ht="14.7" thickBot="1" x14ac:dyDescent="0.55000000000000004">
      <c r="B7" s="89" t="s">
        <v>377</v>
      </c>
      <c r="C7" s="86" t="s">
        <v>698</v>
      </c>
      <c r="D7" s="62"/>
      <c r="E7" s="89" t="s">
        <v>371</v>
      </c>
      <c r="F7" s="86" t="s">
        <v>700</v>
      </c>
      <c r="G7" s="62"/>
      <c r="H7" s="89" t="s">
        <v>383</v>
      </c>
      <c r="I7" s="86" t="s">
        <v>697</v>
      </c>
      <c r="J7" s="62"/>
      <c r="K7" s="93" t="s">
        <v>362</v>
      </c>
      <c r="L7" s="86" t="s">
        <v>699</v>
      </c>
      <c r="M7" s="62"/>
      <c r="O7" s="79" t="s">
        <v>411</v>
      </c>
      <c r="P7" s="62"/>
      <c r="Q7" s="79" t="s">
        <v>410</v>
      </c>
    </row>
    <row r="8" spans="2:19" x14ac:dyDescent="0.5">
      <c r="B8" s="80" t="s">
        <v>102</v>
      </c>
      <c r="D8" s="62"/>
      <c r="E8" s="80" t="s">
        <v>102</v>
      </c>
      <c r="G8" s="62"/>
      <c r="H8" s="80" t="s">
        <v>102</v>
      </c>
      <c r="J8" s="62"/>
      <c r="K8" s="80" t="s">
        <v>102</v>
      </c>
      <c r="M8" s="62"/>
      <c r="O8" s="80" t="s">
        <v>102</v>
      </c>
      <c r="P8" s="62"/>
      <c r="Q8" s="80" t="s">
        <v>102</v>
      </c>
    </row>
    <row r="9" spans="2:19" x14ac:dyDescent="0.5">
      <c r="B9" s="80" t="s">
        <v>369</v>
      </c>
      <c r="D9" s="62"/>
      <c r="E9" s="80" t="s">
        <v>369</v>
      </c>
      <c r="G9" s="62"/>
      <c r="H9" s="80" t="s">
        <v>369</v>
      </c>
      <c r="J9" s="62"/>
      <c r="K9" s="80" t="s">
        <v>369</v>
      </c>
      <c r="M9" s="62"/>
      <c r="O9" s="80" t="s">
        <v>369</v>
      </c>
      <c r="P9" s="62"/>
      <c r="Q9" s="80" t="s">
        <v>369</v>
      </c>
    </row>
    <row r="10" spans="2:19" x14ac:dyDescent="0.5">
      <c r="B10" s="80" t="s">
        <v>102</v>
      </c>
      <c r="D10" s="62"/>
      <c r="E10" s="80" t="s">
        <v>102</v>
      </c>
      <c r="G10" s="62"/>
      <c r="H10" s="80" t="s">
        <v>102</v>
      </c>
      <c r="J10" s="62"/>
      <c r="K10" s="80" t="s">
        <v>102</v>
      </c>
      <c r="M10" s="62"/>
      <c r="O10" s="80" t="s">
        <v>102</v>
      </c>
      <c r="P10" s="62"/>
      <c r="Q10" s="80" t="s">
        <v>102</v>
      </c>
    </row>
    <row r="11" spans="2:19" x14ac:dyDescent="0.5">
      <c r="B11" s="80" t="s">
        <v>205</v>
      </c>
      <c r="D11" s="62"/>
      <c r="E11" s="80" t="s">
        <v>205</v>
      </c>
      <c r="G11" s="62"/>
      <c r="H11" s="80" t="s">
        <v>205</v>
      </c>
      <c r="J11" s="62"/>
      <c r="K11" s="80" t="s">
        <v>205</v>
      </c>
      <c r="M11" s="62"/>
      <c r="O11" s="80" t="s">
        <v>387</v>
      </c>
      <c r="P11" s="62"/>
      <c r="Q11" s="80" t="s">
        <v>387</v>
      </c>
    </row>
    <row r="12" spans="2:19" x14ac:dyDescent="0.5">
      <c r="B12" s="80" t="s">
        <v>372</v>
      </c>
      <c r="D12" s="62"/>
      <c r="E12" s="80" t="s">
        <v>372</v>
      </c>
      <c r="G12" s="62"/>
      <c r="H12" s="80" t="s">
        <v>372</v>
      </c>
      <c r="J12" s="62"/>
      <c r="K12" s="80" t="s">
        <v>372</v>
      </c>
      <c r="M12" s="62"/>
      <c r="O12" s="80" t="s">
        <v>372</v>
      </c>
      <c r="P12" s="62"/>
      <c r="Q12" s="80" t="s">
        <v>372</v>
      </c>
    </row>
    <row r="13" spans="2:19" x14ac:dyDescent="0.5">
      <c r="B13" s="80" t="s">
        <v>365</v>
      </c>
      <c r="C13" t="s">
        <v>363</v>
      </c>
      <c r="D13" s="62"/>
      <c r="E13" s="80" t="s">
        <v>373</v>
      </c>
      <c r="F13" t="s">
        <v>375</v>
      </c>
      <c r="G13" s="62"/>
      <c r="H13" s="80" t="s">
        <v>384</v>
      </c>
      <c r="J13" s="62"/>
      <c r="K13" s="80" t="s">
        <v>339</v>
      </c>
      <c r="M13" s="62"/>
      <c r="O13" s="80" t="s">
        <v>388</v>
      </c>
      <c r="P13" s="62"/>
      <c r="Q13" s="80" t="s">
        <v>388</v>
      </c>
    </row>
    <row r="14" spans="2:19" x14ac:dyDescent="0.5">
      <c r="B14" s="80" t="s">
        <v>340</v>
      </c>
      <c r="C14" t="s">
        <v>364</v>
      </c>
      <c r="D14" s="62"/>
      <c r="E14" s="80" t="s">
        <v>340</v>
      </c>
      <c r="F14" t="s">
        <v>376</v>
      </c>
      <c r="G14" s="62"/>
      <c r="H14" s="80" t="s">
        <v>340</v>
      </c>
      <c r="J14" s="62"/>
      <c r="K14" s="80" t="s">
        <v>340</v>
      </c>
      <c r="M14" s="62"/>
      <c r="O14" s="80" t="s">
        <v>389</v>
      </c>
      <c r="P14" s="62"/>
      <c r="Q14" s="80" t="s">
        <v>389</v>
      </c>
    </row>
    <row r="15" spans="2:19" ht="14.7" thickBot="1" x14ac:dyDescent="0.55000000000000004">
      <c r="B15" s="80" t="s">
        <v>366</v>
      </c>
      <c r="D15" s="62"/>
      <c r="E15" s="80" t="s">
        <v>374</v>
      </c>
      <c r="G15" s="62"/>
      <c r="H15" s="80" t="s">
        <v>385</v>
      </c>
      <c r="J15" s="62"/>
      <c r="K15" s="80" t="s">
        <v>341</v>
      </c>
      <c r="M15" s="62"/>
      <c r="O15" s="81" t="s">
        <v>424</v>
      </c>
      <c r="P15" s="73"/>
      <c r="Q15" s="84"/>
      <c r="S15" s="53"/>
    </row>
    <row r="16" spans="2:19" x14ac:dyDescent="0.5">
      <c r="B16" s="80" t="s">
        <v>342</v>
      </c>
      <c r="D16" s="62"/>
      <c r="E16" s="80" t="s">
        <v>342</v>
      </c>
      <c r="G16" s="62"/>
      <c r="H16" s="80" t="s">
        <v>342</v>
      </c>
      <c r="J16" s="62"/>
      <c r="K16" s="80" t="s">
        <v>342</v>
      </c>
      <c r="M16" s="62"/>
      <c r="N16" s="75" t="s">
        <v>421</v>
      </c>
      <c r="O16" s="80" t="str">
        <f>IF(N17&lt;&gt;"",_xlfn.CONCAT("            entry ",N17," create"),"            entry &lt;entry_for_B4A&gt; create)")</f>
        <v xml:space="preserve">            entry 11 create</v>
      </c>
      <c r="P16" s="62"/>
      <c r="Q16" s="80" t="str">
        <f>IF(N17&lt;&gt;"",_xlfn.CONCAT("            entry ",N17," create"),"            entry &lt;entry_for_B4A&gt; create)")</f>
        <v xml:space="preserve">            entry 11 create</v>
      </c>
    </row>
    <row r="17" spans="2:18" ht="14.7" thickBot="1" x14ac:dyDescent="0.55000000000000004">
      <c r="B17" s="80" t="s">
        <v>343</v>
      </c>
      <c r="D17" s="62"/>
      <c r="E17" s="80" t="s">
        <v>343</v>
      </c>
      <c r="G17" s="62"/>
      <c r="H17" s="80" t="s">
        <v>343</v>
      </c>
      <c r="J17" s="62"/>
      <c r="K17" s="80" t="s">
        <v>343</v>
      </c>
      <c r="M17" s="62"/>
      <c r="N17" s="76">
        <v>11</v>
      </c>
      <c r="O17" s="80" t="s">
        <v>390</v>
      </c>
      <c r="P17" s="62"/>
      <c r="Q17" s="80" t="s">
        <v>390</v>
      </c>
      <c r="R17" s="54"/>
    </row>
    <row r="18" spans="2:18" ht="14.7" thickBot="1" x14ac:dyDescent="0.55000000000000004">
      <c r="B18" s="80" t="str">
        <f>IF(C5&lt;&gt;"",_xlfn.CONCAT("                    dst-ip ",C5,"/32"),"                    dst-ip &lt;IRR-W System IPv4 address&gt;/32")</f>
        <v xml:space="preserve">                    dst-ip 172.29.158.143/32</v>
      </c>
      <c r="D18" s="62"/>
      <c r="E18" s="80" t="str">
        <f>IF(F5&lt;&gt;"",_xlfn.CONCAT("                    dst-ip ",F5,"/32"),"                    dst-ip &lt;IRR-E System IPv4 address&gt;/32")</f>
        <v xml:space="preserve">                    dst-ip 172.29.158.150/32</v>
      </c>
      <c r="G18" s="62"/>
      <c r="H18" s="80" t="str">
        <f>IF(I5&lt;&gt;"",_xlfn.CONCAT("                    dst-ip ",I5,"/32"),"                    dst-ip &lt;System IPv4 address&gt;/32")</f>
        <v xml:space="preserve">                    dst-ip 172.29.158.144/32</v>
      </c>
      <c r="J18" s="62"/>
      <c r="K18" s="80" t="str">
        <f>IF(L5&lt;&gt;"",_xlfn.CONCAT("                    dst-ip ",L5,"/32"),"                    dst-ip &lt;System IPv4 address&gt;/32")</f>
        <v xml:space="preserve">                    dst-ip 172.29.158.143/32</v>
      </c>
      <c r="M18" s="62"/>
      <c r="N18" s="54"/>
      <c r="O18" s="80" t="s">
        <v>391</v>
      </c>
      <c r="P18" s="62"/>
      <c r="Q18" s="80" t="s">
        <v>391</v>
      </c>
    </row>
    <row r="19" spans="2:18" x14ac:dyDescent="0.5">
      <c r="B19" s="80" t="s">
        <v>344</v>
      </c>
      <c r="D19" s="62"/>
      <c r="E19" s="80" t="s">
        <v>344</v>
      </c>
      <c r="G19" s="62"/>
      <c r="H19" s="80" t="s">
        <v>344</v>
      </c>
      <c r="J19" s="62"/>
      <c r="K19" s="80" t="s">
        <v>344</v>
      </c>
      <c r="M19" s="62"/>
      <c r="N19" s="77" t="s">
        <v>422</v>
      </c>
      <c r="O19" s="80" t="str">
        <f>IF(O$4&lt;&gt;"",_xlfn.CONCAT("                    dst-ip ",$O$4,"/32"),"                    dst-ip &lt;B4B-01 System IPv4 address&gt;/32")</f>
        <v xml:space="preserve">                    dst-ip 172.29.202.4/32</v>
      </c>
      <c r="P19" s="62"/>
      <c r="Q19" s="80" t="str">
        <f>IF(Q$4&lt;&gt;"",_xlfn.CONCAT("                    dst-ip ",Q$4,"/32"),"                    dst-ip &lt;B4B-02 System IPv4 address&gt;/32")</f>
        <v xml:space="preserve">                    dst-ip 172.29.242.20/32</v>
      </c>
    </row>
    <row r="20" spans="2:18" ht="14.7" thickBot="1" x14ac:dyDescent="0.55000000000000004">
      <c r="B20" s="80" t="str">
        <f>IF(C7&lt;&gt;"",_xlfn.CONCAT("                    src-ip ",C7,"/32"),"                    src-ip &lt;B40-01 System IPv4 address&gt;/32")</f>
        <v xml:space="preserve">                    src-ip 172.31.131.14/32</v>
      </c>
      <c r="D20" s="62"/>
      <c r="E20" s="80" t="str">
        <f>IF(F7&lt;&gt;"",_xlfn.CONCAT("                    src-ip ",F7,"/32"),"                    src-ip &lt;B40-02 System IPv4 address&gt;/32")</f>
        <v xml:space="preserve">                    src-ip 172.31.131.15/32</v>
      </c>
      <c r="G20" s="62"/>
      <c r="H20" s="80" t="str">
        <f>IF(I7&lt;&gt;"",_xlfn.CONCAT("                    src-ip ",I7,"/32"),"                    src-ip &lt;IRR_WEST System IPv4 address&gt;/32")</f>
        <v xml:space="preserve">                    src-ip 172.29.158.143/32</v>
      </c>
      <c r="J20" s="62"/>
      <c r="K20" s="80" t="str">
        <f>IF(L7&lt;&gt;"",_xlfn.CONCAT("                    src-ip ",L7,"/32"),"                    src-ip &lt;IRR_EAST System IPv4 address&gt;/32")</f>
        <v xml:space="preserve">                    src-ip 172.29.158.153/32</v>
      </c>
      <c r="M20" s="62"/>
      <c r="N20" s="78" t="s">
        <v>615</v>
      </c>
      <c r="O20" s="80" t="str">
        <f>IF($N$20&lt;&gt;"",_xlfn.CONCAT("                    src-ip ",$N$20,"/32"),"                    src-ip &lt;B4A-xx System IP Address&gt;/32")</f>
        <v xml:space="preserve">                    src-ip 172.29.202.2/32</v>
      </c>
      <c r="P20" s="62"/>
      <c r="Q20" s="80" t="str">
        <f>IF($N$20&lt;&gt;"",_xlfn.CONCAT("                    src-ip ",$N$20,"/32"),"                    src-ip &lt;B4A-xx System IP Address&gt;/32")</f>
        <v xml:space="preserve">                    src-ip 172.29.202.2/32</v>
      </c>
      <c r="R20" s="54"/>
    </row>
    <row r="21" spans="2:18" x14ac:dyDescent="0.5">
      <c r="B21" s="80" t="s">
        <v>24</v>
      </c>
      <c r="D21" s="62"/>
      <c r="E21" s="80" t="s">
        <v>24</v>
      </c>
      <c r="G21" s="62"/>
      <c r="H21" s="80" t="s">
        <v>24</v>
      </c>
      <c r="J21" s="62"/>
      <c r="K21" s="80" t="s">
        <v>24</v>
      </c>
      <c r="M21" s="62"/>
      <c r="O21" s="80" t="s">
        <v>24</v>
      </c>
      <c r="P21" s="62"/>
      <c r="Q21" s="80" t="s">
        <v>24</v>
      </c>
    </row>
    <row r="22" spans="2:18" x14ac:dyDescent="0.5">
      <c r="B22" s="80" t="s">
        <v>345</v>
      </c>
      <c r="D22" s="62"/>
      <c r="E22" s="80" t="s">
        <v>345</v>
      </c>
      <c r="G22" s="62"/>
      <c r="H22" s="80" t="s">
        <v>345</v>
      </c>
      <c r="J22" s="62"/>
      <c r="K22" s="80" t="s">
        <v>345</v>
      </c>
      <c r="M22" s="62"/>
      <c r="O22" s="80" t="s">
        <v>345</v>
      </c>
      <c r="P22" s="62"/>
      <c r="Q22" s="80" t="s">
        <v>345</v>
      </c>
    </row>
    <row r="23" spans="2:18" x14ac:dyDescent="0.5">
      <c r="B23" s="80" t="s">
        <v>346</v>
      </c>
      <c r="D23" s="62"/>
      <c r="E23" s="80" t="s">
        <v>346</v>
      </c>
      <c r="G23" s="62"/>
      <c r="H23" s="80" t="s">
        <v>346</v>
      </c>
      <c r="J23" s="62"/>
      <c r="K23" s="80" t="s">
        <v>346</v>
      </c>
      <c r="M23" s="62"/>
      <c r="O23" s="80" t="s">
        <v>392</v>
      </c>
      <c r="P23" s="62"/>
      <c r="Q23" s="80" t="s">
        <v>392</v>
      </c>
    </row>
    <row r="24" spans="2:18" x14ac:dyDescent="0.5">
      <c r="B24" s="80" t="s">
        <v>24</v>
      </c>
      <c r="D24" s="62"/>
      <c r="E24" s="80" t="s">
        <v>24</v>
      </c>
      <c r="G24" s="62"/>
      <c r="H24" s="80" t="s">
        <v>24</v>
      </c>
      <c r="J24" s="62"/>
      <c r="K24" s="80" t="s">
        <v>24</v>
      </c>
      <c r="M24" s="62"/>
      <c r="O24" s="80" t="s">
        <v>24</v>
      </c>
      <c r="P24" s="62"/>
      <c r="Q24" s="80" t="s">
        <v>24</v>
      </c>
    </row>
    <row r="25" spans="2:18" x14ac:dyDescent="0.5">
      <c r="B25" s="80" t="s">
        <v>7</v>
      </c>
      <c r="D25" s="62"/>
      <c r="E25" s="80" t="s">
        <v>7</v>
      </c>
      <c r="G25" s="62"/>
      <c r="H25" s="80" t="s">
        <v>7</v>
      </c>
      <c r="J25" s="62"/>
      <c r="K25" s="80" t="s">
        <v>7</v>
      </c>
      <c r="M25" s="62"/>
      <c r="O25" s="80" t="s">
        <v>7</v>
      </c>
      <c r="P25" s="62"/>
      <c r="Q25" s="80" t="s">
        <v>7</v>
      </c>
    </row>
    <row r="26" spans="2:18" x14ac:dyDescent="0.5">
      <c r="B26" s="80" t="s">
        <v>347</v>
      </c>
      <c r="D26" s="62"/>
      <c r="E26" s="80" t="s">
        <v>347</v>
      </c>
      <c r="G26" s="62"/>
      <c r="H26" s="80" t="s">
        <v>347</v>
      </c>
      <c r="J26" s="62"/>
      <c r="K26" s="80" t="s">
        <v>347</v>
      </c>
      <c r="M26" s="62"/>
      <c r="O26" s="82"/>
      <c r="P26" s="69"/>
      <c r="Q26" s="82"/>
    </row>
    <row r="27" spans="2:18" x14ac:dyDescent="0.5">
      <c r="B27" s="80" t="s">
        <v>348</v>
      </c>
      <c r="D27" s="62"/>
      <c r="E27" s="80" t="s">
        <v>348</v>
      </c>
      <c r="G27" s="62"/>
      <c r="H27" s="80" t="s">
        <v>348</v>
      </c>
      <c r="J27" s="62"/>
      <c r="K27" s="80" t="s">
        <v>348</v>
      </c>
      <c r="M27" s="62"/>
      <c r="O27" s="80" t="s">
        <v>393</v>
      </c>
      <c r="P27" s="62"/>
      <c r="Q27" s="80" t="s">
        <v>393</v>
      </c>
    </row>
    <row r="28" spans="2:18" x14ac:dyDescent="0.5">
      <c r="B28" s="80" t="str">
        <f>IF(C5&lt;&gt;"",_xlfn.CONCAT("                    dst-ip ",C5,"/32"),"                    dst-ip &lt;IRR-W System IPv4 address&gt;/32")</f>
        <v xml:space="preserve">                    dst-ip 172.29.158.143/32</v>
      </c>
      <c r="D28" s="62"/>
      <c r="E28" s="80" t="str">
        <f>IF(F5&lt;&gt;"",_xlfn.CONCAT("                    dst-ip ",F5,"/32"),"                    dst-ip &lt;IRR-E System IPv4 address&gt;/32")</f>
        <v xml:space="preserve">                    dst-ip 172.29.158.150/32</v>
      </c>
      <c r="G28" s="62"/>
      <c r="H28" s="80" t="str">
        <f>IF(I5&lt;&gt;"",_xlfn.CONCAT("                    dst-ip ",I5,"/32"),"                    dst-ip &lt;System IPv4 address&gt;/32")</f>
        <v xml:space="preserve">                    dst-ip 172.29.158.144/32</v>
      </c>
      <c r="J28" s="62"/>
      <c r="K28" s="80" t="str">
        <f>IF(L5&lt;&gt;"",_xlfn.CONCAT("                    dst-ip ",L5,"/32"),"                    dst-ip &lt;System IPv4 address&gt;/32")</f>
        <v xml:space="preserve">                    dst-ip 172.29.158.143/32</v>
      </c>
      <c r="M28" s="62"/>
      <c r="O28" s="80" t="s">
        <v>343</v>
      </c>
      <c r="P28" s="62"/>
      <c r="Q28" s="80" t="s">
        <v>343</v>
      </c>
    </row>
    <row r="29" spans="2:18" x14ac:dyDescent="0.5">
      <c r="B29" s="80" t="s">
        <v>349</v>
      </c>
      <c r="D29" s="62"/>
      <c r="E29" s="80" t="s">
        <v>349</v>
      </c>
      <c r="G29" s="62"/>
      <c r="H29" s="80" t="s">
        <v>349</v>
      </c>
      <c r="J29" s="62"/>
      <c r="K29" s="80" t="s">
        <v>349</v>
      </c>
      <c r="M29" s="62"/>
      <c r="O29" s="80" t="s">
        <v>394</v>
      </c>
      <c r="P29" s="62"/>
      <c r="Q29" s="80" t="s">
        <v>394</v>
      </c>
    </row>
    <row r="30" spans="2:18" x14ac:dyDescent="0.5">
      <c r="B30" s="80" t="str">
        <f>IF(C7&lt;&gt;"",_xlfn.CONCAT("                    src-ip ",C7,"/32"),"                    src-ip &lt;B40-01 System IPv4 address&gt;/32")</f>
        <v xml:space="preserve">                    src-ip 172.31.131.14/32</v>
      </c>
      <c r="D30" s="62"/>
      <c r="E30" s="80" t="str">
        <f>IF(F7&lt;&gt;"",_xlfn.CONCAT("                    src-ip ",F7,"/32"),"                    src-ip &lt;B40-02 System IPv4 address&gt;/32")</f>
        <v xml:space="preserve">                    src-ip 172.31.131.15/32</v>
      </c>
      <c r="G30" s="62"/>
      <c r="H30" s="80" t="str">
        <f>IF(I7&lt;&gt;"",_xlfn.CONCAT("                    src-ip ",I7,"/32"),"                    src-ip &lt;IRR_WEST System IPv4 address&gt;/32")</f>
        <v xml:space="preserve">                    src-ip 172.29.158.143/32</v>
      </c>
      <c r="J30" s="62"/>
      <c r="K30" s="80" t="str">
        <f>IF(L7&lt;&gt;"",_xlfn.CONCAT("                    src-ip ",L7,"/32"),"                    src-ip &lt;IRR_EAST System IPv4 address&gt;/32")</f>
        <v xml:space="preserve">                    src-ip 172.29.158.153/32</v>
      </c>
      <c r="M30" s="62"/>
      <c r="O30" s="80" t="str">
        <f>IF($O$6&lt;&gt;"",_xlfn.CONCAT("                    src-ip ",$O$6,"/32"),"                    src-ip &lt;IRR West System Interface IP Address&gt;/32")</f>
        <v xml:space="preserve">                    src-ip 172.29.203.140/32</v>
      </c>
      <c r="P30" s="62"/>
      <c r="Q30" s="80" t="str">
        <f>IF($O$6&lt;&gt;"",_xlfn.CONCAT("                    src-ip ",$O$6,"/32"),"                    src-ip &lt;IRR West System Interface IP Address&gt;/32")</f>
        <v xml:space="preserve">                    src-ip 172.29.203.140/32</v>
      </c>
    </row>
    <row r="31" spans="2:18" x14ac:dyDescent="0.5">
      <c r="B31" s="80" t="s">
        <v>24</v>
      </c>
      <c r="D31" s="62"/>
      <c r="E31" s="80" t="s">
        <v>24</v>
      </c>
      <c r="G31" s="62"/>
      <c r="H31" s="80" t="s">
        <v>24</v>
      </c>
      <c r="J31" s="62"/>
      <c r="K31" s="80" t="s">
        <v>24</v>
      </c>
      <c r="M31" s="62"/>
      <c r="O31" s="80" t="s">
        <v>24</v>
      </c>
      <c r="P31" s="62"/>
      <c r="Q31" s="80" t="s">
        <v>24</v>
      </c>
    </row>
    <row r="32" spans="2:18" x14ac:dyDescent="0.5">
      <c r="B32" s="80" t="s">
        <v>345</v>
      </c>
      <c r="D32" s="62"/>
      <c r="E32" s="80" t="s">
        <v>345</v>
      </c>
      <c r="G32" s="62"/>
      <c r="H32" s="80" t="s">
        <v>345</v>
      </c>
      <c r="J32" s="62"/>
      <c r="K32" s="80" t="s">
        <v>345</v>
      </c>
      <c r="M32" s="62"/>
      <c r="O32" s="80" t="s">
        <v>345</v>
      </c>
      <c r="P32" s="62"/>
      <c r="Q32" s="80" t="s">
        <v>345</v>
      </c>
    </row>
    <row r="33" spans="2:17" x14ac:dyDescent="0.5">
      <c r="B33" s="80" t="s">
        <v>346</v>
      </c>
      <c r="D33" s="62"/>
      <c r="E33" s="80" t="s">
        <v>346</v>
      </c>
      <c r="G33" s="62"/>
      <c r="H33" s="80" t="s">
        <v>346</v>
      </c>
      <c r="J33" s="62"/>
      <c r="K33" s="80" t="s">
        <v>346</v>
      </c>
      <c r="M33" s="62"/>
      <c r="O33" s="80" t="s">
        <v>346</v>
      </c>
      <c r="P33" s="62"/>
      <c r="Q33" s="80" t="s">
        <v>346</v>
      </c>
    </row>
    <row r="34" spans="2:17" x14ac:dyDescent="0.5">
      <c r="B34" s="80" t="s">
        <v>24</v>
      </c>
      <c r="D34" s="62"/>
      <c r="E34" s="80" t="s">
        <v>24</v>
      </c>
      <c r="G34" s="62"/>
      <c r="H34" s="80" t="s">
        <v>24</v>
      </c>
      <c r="J34" s="62"/>
      <c r="K34" s="80" t="s">
        <v>24</v>
      </c>
      <c r="M34" s="62"/>
      <c r="O34" s="80" t="s">
        <v>24</v>
      </c>
      <c r="P34" s="62"/>
      <c r="Q34" s="80" t="s">
        <v>24</v>
      </c>
    </row>
    <row r="35" spans="2:17" x14ac:dyDescent="0.5">
      <c r="B35" s="80" t="s">
        <v>7</v>
      </c>
      <c r="D35" s="62"/>
      <c r="E35" s="80" t="s">
        <v>7</v>
      </c>
      <c r="G35" s="62"/>
      <c r="H35" s="80" t="s">
        <v>7</v>
      </c>
      <c r="J35" s="62"/>
      <c r="K35" s="80" t="s">
        <v>7</v>
      </c>
      <c r="M35" s="62"/>
      <c r="O35" s="80" t="s">
        <v>7</v>
      </c>
      <c r="P35" s="62"/>
      <c r="Q35" s="80" t="s">
        <v>7</v>
      </c>
    </row>
    <row r="36" spans="2:17" x14ac:dyDescent="0.5">
      <c r="B36" s="80" t="s">
        <v>350</v>
      </c>
      <c r="D36" s="62"/>
      <c r="E36" s="80" t="s">
        <v>350</v>
      </c>
      <c r="G36" s="62"/>
      <c r="H36" s="80" t="s">
        <v>350</v>
      </c>
      <c r="J36" s="62"/>
      <c r="K36" s="80" t="s">
        <v>350</v>
      </c>
      <c r="M36" s="62"/>
      <c r="O36" s="80" t="s">
        <v>395</v>
      </c>
      <c r="P36" s="62"/>
      <c r="Q36" s="80" t="s">
        <v>395</v>
      </c>
    </row>
    <row r="37" spans="2:17" x14ac:dyDescent="0.5">
      <c r="B37" s="80" t="s">
        <v>348</v>
      </c>
      <c r="D37" s="62"/>
      <c r="E37" s="80" t="s">
        <v>348</v>
      </c>
      <c r="G37" s="62"/>
      <c r="H37" s="80" t="s">
        <v>348</v>
      </c>
      <c r="J37" s="62"/>
      <c r="K37" s="80" t="s">
        <v>348</v>
      </c>
      <c r="M37" s="62"/>
      <c r="O37" s="80" t="s">
        <v>348</v>
      </c>
      <c r="P37" s="62"/>
      <c r="Q37" s="80" t="s">
        <v>348</v>
      </c>
    </row>
    <row r="38" spans="2:17" x14ac:dyDescent="0.5">
      <c r="B38" s="80" t="str">
        <f>IF(C5&lt;&gt;"",_xlfn.CONCAT("                    dst-ip ",C5,"/32"),"                    dst-ip &lt;IRR-W System IPv4 address&gt;/32")</f>
        <v xml:space="preserve">                    dst-ip 172.29.158.143/32</v>
      </c>
      <c r="D38" s="62"/>
      <c r="E38" s="80" t="str">
        <f>IF(F5&lt;&gt;"",_xlfn.CONCAT("                    dst-ip ",F5,"/32"),"                    dst-ip &lt;IRR-E System IPv4 address&gt;/32")</f>
        <v xml:space="preserve">                    dst-ip 172.29.158.150/32</v>
      </c>
      <c r="G38" s="62"/>
      <c r="H38" s="80" t="str">
        <f>IF(I5&lt;&gt;"",_xlfn.CONCAT("                    dst-ip ",I5,"/32"),"                    dst-ip &lt;System IPv4 address&gt;/32")</f>
        <v xml:space="preserve">                    dst-ip 172.29.158.144/32</v>
      </c>
      <c r="J38" s="62"/>
      <c r="K38" s="80" t="str">
        <f>IF(L5&lt;&gt;"",_xlfn.CONCAT("                    dst-ip ",L5,"/32"),"                    dst-ip &lt;System IPv4 address&gt;/32")</f>
        <v xml:space="preserve">                    dst-ip 172.29.158.143/32</v>
      </c>
      <c r="M38" s="62"/>
      <c r="O38" s="80" t="s">
        <v>396</v>
      </c>
      <c r="P38" s="62"/>
      <c r="Q38" s="80" t="s">
        <v>396</v>
      </c>
    </row>
    <row r="39" spans="2:17" x14ac:dyDescent="0.5">
      <c r="B39" s="80" t="str">
        <f>IF(C7&lt;&gt;"",_xlfn.CONCAT("                    src-ip ",C7,"/32"),"                    src-ip &lt;B40-01 System IPv4 address&gt;/32")</f>
        <v xml:space="preserve">                    src-ip 172.31.131.14/32</v>
      </c>
      <c r="D39" s="62"/>
      <c r="E39" s="80" t="str">
        <f>IF(F7&lt;&gt;"",_xlfn.CONCAT("                    src-ip ",F7,"/32"),"                    src-ip &lt;B40-02 System IPv4 address&gt;/32")</f>
        <v xml:space="preserve">                    src-ip 172.31.131.15/32</v>
      </c>
      <c r="G39" s="62"/>
      <c r="H39" s="80" t="str">
        <f>IF(I7&lt;&gt;"",_xlfn.CONCAT("                    src-ip ",I7,"/32"),"                    src-ip &lt;IRR_WEST System IPv4 address&gt;/32")</f>
        <v xml:space="preserve">                    src-ip 172.29.158.143/32</v>
      </c>
      <c r="J39" s="62"/>
      <c r="K39" s="80" t="str">
        <f>IF(L7&lt;&gt;"",_xlfn.CONCAT("                    src-ip ",L7,"/32"),"                    src-ip &lt;IRR_EAST System IPv4 address&gt;/32")</f>
        <v xml:space="preserve">                    src-ip 172.29.158.153/32</v>
      </c>
      <c r="M39" s="62"/>
      <c r="O39" s="80" t="str">
        <f>IF($O$6&lt;&gt;"",_xlfn.CONCAT("                    src-ip ",$O$6,"/32"),"                    src-ip &lt;IRR West System Interface IP Address&gt;/32")</f>
        <v xml:space="preserve">                    src-ip 172.29.203.140/32</v>
      </c>
      <c r="P39" s="62"/>
      <c r="Q39" s="80" t="str">
        <f>IF($O$6&lt;&gt;"",_xlfn.CONCAT("                    src-ip ",$O$6,"/32"),"                    src-ip &lt;IRR West System Interface IP Address&gt;/32")</f>
        <v xml:space="preserve">                    src-ip 172.29.203.140/32</v>
      </c>
    </row>
    <row r="40" spans="2:17" x14ac:dyDescent="0.5">
      <c r="B40" s="80" t="s">
        <v>351</v>
      </c>
      <c r="D40" s="62"/>
      <c r="E40" s="80" t="s">
        <v>351</v>
      </c>
      <c r="G40" s="62"/>
      <c r="H40" s="80" t="s">
        <v>351</v>
      </c>
      <c r="J40" s="62"/>
      <c r="K40" s="80" t="s">
        <v>351</v>
      </c>
      <c r="M40" s="62"/>
      <c r="O40" s="80" t="s">
        <v>24</v>
      </c>
      <c r="P40" s="62"/>
      <c r="Q40" s="80" t="s">
        <v>24</v>
      </c>
    </row>
    <row r="41" spans="2:17" x14ac:dyDescent="0.5">
      <c r="B41" s="80" t="s">
        <v>24</v>
      </c>
      <c r="D41" s="62"/>
      <c r="E41" s="80" t="s">
        <v>24</v>
      </c>
      <c r="G41" s="62"/>
      <c r="H41" s="80" t="s">
        <v>24</v>
      </c>
      <c r="J41" s="62"/>
      <c r="K41" s="80" t="s">
        <v>24</v>
      </c>
      <c r="M41" s="62"/>
      <c r="O41" s="80" t="s">
        <v>345</v>
      </c>
      <c r="P41" s="62"/>
      <c r="Q41" s="80" t="s">
        <v>345</v>
      </c>
    </row>
    <row r="42" spans="2:17" x14ac:dyDescent="0.5">
      <c r="B42" s="80" t="s">
        <v>345</v>
      </c>
      <c r="D42" s="62"/>
      <c r="E42" s="80" t="s">
        <v>345</v>
      </c>
      <c r="G42" s="62"/>
      <c r="H42" s="80" t="s">
        <v>345</v>
      </c>
      <c r="J42" s="62"/>
      <c r="K42" s="80" t="s">
        <v>345</v>
      </c>
      <c r="M42" s="62"/>
      <c r="O42" s="80" t="s">
        <v>346</v>
      </c>
      <c r="P42" s="62"/>
      <c r="Q42" s="80" t="s">
        <v>346</v>
      </c>
    </row>
    <row r="43" spans="2:17" x14ac:dyDescent="0.5">
      <c r="B43" s="80" t="s">
        <v>346</v>
      </c>
      <c r="D43" s="62"/>
      <c r="E43" s="80" t="s">
        <v>346</v>
      </c>
      <c r="G43" s="62"/>
      <c r="H43" s="80" t="s">
        <v>346</v>
      </c>
      <c r="J43" s="62"/>
      <c r="K43" s="80" t="s">
        <v>346</v>
      </c>
      <c r="M43" s="62"/>
      <c r="O43" s="80" t="s">
        <v>24</v>
      </c>
      <c r="P43" s="62"/>
      <c r="Q43" s="80" t="s">
        <v>24</v>
      </c>
    </row>
    <row r="44" spans="2:17" x14ac:dyDescent="0.5">
      <c r="B44" s="80" t="s">
        <v>24</v>
      </c>
      <c r="D44" s="62"/>
      <c r="E44" s="80" t="s">
        <v>24</v>
      </c>
      <c r="G44" s="62"/>
      <c r="H44" s="80" t="s">
        <v>145</v>
      </c>
      <c r="J44" s="62"/>
      <c r="K44" s="80" t="s">
        <v>24</v>
      </c>
      <c r="M44" s="62"/>
      <c r="O44" s="80" t="s">
        <v>7</v>
      </c>
      <c r="P44" s="62"/>
      <c r="Q44" s="80" t="s">
        <v>7</v>
      </c>
    </row>
    <row r="45" spans="2:17" x14ac:dyDescent="0.5">
      <c r="B45" s="80" t="s">
        <v>7</v>
      </c>
      <c r="D45" s="62"/>
      <c r="E45" s="80" t="s">
        <v>7</v>
      </c>
      <c r="G45" s="62"/>
      <c r="H45" s="80" t="s">
        <v>7</v>
      </c>
      <c r="J45" s="62"/>
      <c r="K45" s="80" t="s">
        <v>7</v>
      </c>
      <c r="M45" s="62"/>
      <c r="O45" s="80" t="s">
        <v>397</v>
      </c>
      <c r="P45" s="62"/>
      <c r="Q45" s="80" t="s">
        <v>397</v>
      </c>
    </row>
    <row r="46" spans="2:17" ht="14.7" thickBot="1" x14ac:dyDescent="0.55000000000000004">
      <c r="B46" s="83" t="s">
        <v>14</v>
      </c>
      <c r="D46" s="62"/>
      <c r="E46" s="83" t="s">
        <v>14</v>
      </c>
      <c r="G46" s="62"/>
      <c r="H46" s="83" t="s">
        <v>14</v>
      </c>
      <c r="J46" s="62"/>
      <c r="K46" s="83" t="s">
        <v>14</v>
      </c>
      <c r="M46" s="62"/>
      <c r="O46" s="80" t="s">
        <v>398</v>
      </c>
      <c r="P46" s="62"/>
      <c r="Q46" s="80" t="s">
        <v>398</v>
      </c>
    </row>
    <row r="47" spans="2:17" x14ac:dyDescent="0.5">
      <c r="B47" s="62"/>
      <c r="C47" s="62"/>
      <c r="D47" s="62"/>
      <c r="E47" s="62"/>
      <c r="F47" s="62"/>
      <c r="G47" s="62"/>
      <c r="H47" s="62"/>
      <c r="I47" s="62"/>
      <c r="J47" s="62"/>
      <c r="K47" s="62"/>
      <c r="M47" s="62"/>
      <c r="O47" s="80" t="str">
        <f>IF($O$6&lt;&gt;"",_xlfn.CONCAT("                    src-ip ",$O$6,"/32"),"                    src-ip &lt;IRR West System Interface IP Address&gt;/32")</f>
        <v xml:space="preserve">                    src-ip 172.29.203.140/32</v>
      </c>
      <c r="P47" s="62"/>
      <c r="Q47" s="80" t="str">
        <f>IF($O$6&lt;&gt;"",_xlfn.CONCAT("                    src-ip ",$O$6,"/32"),"                    src-ip &lt;IRR West System Interface IP Address&gt;/32")</f>
        <v xml:space="preserve">                    src-ip 172.29.203.140/32</v>
      </c>
    </row>
    <row r="48" spans="2:17" x14ac:dyDescent="0.5">
      <c r="M48" s="62"/>
      <c r="O48" s="80" t="s">
        <v>351</v>
      </c>
      <c r="P48" s="62"/>
      <c r="Q48" s="80" t="s">
        <v>351</v>
      </c>
    </row>
    <row r="49" spans="13:17" x14ac:dyDescent="0.5">
      <c r="M49" s="62"/>
      <c r="O49" s="80" t="s">
        <v>24</v>
      </c>
      <c r="P49" s="62"/>
      <c r="Q49" s="80" t="s">
        <v>24</v>
      </c>
    </row>
    <row r="50" spans="13:17" x14ac:dyDescent="0.5">
      <c r="M50" s="62"/>
      <c r="O50" s="80" t="s">
        <v>345</v>
      </c>
      <c r="P50" s="62"/>
      <c r="Q50" s="80" t="s">
        <v>345</v>
      </c>
    </row>
    <row r="51" spans="13:17" x14ac:dyDescent="0.5">
      <c r="M51" s="62"/>
      <c r="O51" s="80" t="s">
        <v>346</v>
      </c>
      <c r="P51" s="62"/>
      <c r="Q51" s="80" t="s">
        <v>346</v>
      </c>
    </row>
    <row r="52" spans="13:17" x14ac:dyDescent="0.5">
      <c r="M52" s="62"/>
      <c r="O52" s="80" t="s">
        <v>24</v>
      </c>
      <c r="P52" s="62"/>
      <c r="Q52" s="80" t="s">
        <v>24</v>
      </c>
    </row>
    <row r="53" spans="13:17" x14ac:dyDescent="0.5">
      <c r="M53" s="62"/>
      <c r="O53" s="80" t="s">
        <v>7</v>
      </c>
      <c r="P53" s="62"/>
      <c r="Q53" s="80" t="s">
        <v>7</v>
      </c>
    </row>
    <row r="54" spans="13:17" x14ac:dyDescent="0.5">
      <c r="M54" s="62"/>
      <c r="O54" s="80" t="s">
        <v>399</v>
      </c>
      <c r="P54" s="62"/>
      <c r="Q54" s="80" t="s">
        <v>399</v>
      </c>
    </row>
    <row r="55" spans="13:17" x14ac:dyDescent="0.5">
      <c r="M55" s="62"/>
      <c r="O55" s="80" t="s">
        <v>398</v>
      </c>
      <c r="P55" s="62"/>
      <c r="Q55" s="80" t="s">
        <v>398</v>
      </c>
    </row>
    <row r="56" spans="13:17" x14ac:dyDescent="0.5">
      <c r="M56" s="62"/>
      <c r="O56" s="80" t="str">
        <f>IF($O$6&lt;&gt;"",_xlfn.CONCAT("                    src-ip ",$O$6,"/32"),"                    src-ip &lt;IRR West System Interface IP Address&gt;/32")</f>
        <v xml:space="preserve">                    src-ip 172.29.203.140/32</v>
      </c>
      <c r="P56" s="62"/>
      <c r="Q56" s="80" t="str">
        <f>IF($O$6&lt;&gt;"",_xlfn.CONCAT("                    src-ip ",$O$6,"/32"),"                    src-ip &lt;IRR West System Interface IP Address&gt;/32")</f>
        <v xml:space="preserve">                    src-ip 172.29.203.140/32</v>
      </c>
    </row>
    <row r="57" spans="13:17" x14ac:dyDescent="0.5">
      <c r="M57" s="62"/>
      <c r="O57" s="80" t="s">
        <v>349</v>
      </c>
      <c r="P57" s="62"/>
      <c r="Q57" s="80" t="s">
        <v>349</v>
      </c>
    </row>
    <row r="58" spans="13:17" x14ac:dyDescent="0.5">
      <c r="M58" s="62"/>
      <c r="O58" s="80" t="s">
        <v>24</v>
      </c>
      <c r="P58" s="62"/>
      <c r="Q58" s="80" t="s">
        <v>24</v>
      </c>
    </row>
    <row r="59" spans="13:17" x14ac:dyDescent="0.5">
      <c r="M59" s="62"/>
      <c r="O59" s="80" t="s">
        <v>345</v>
      </c>
      <c r="P59" s="62"/>
      <c r="Q59" s="80" t="s">
        <v>345</v>
      </c>
    </row>
    <row r="60" spans="13:17" x14ac:dyDescent="0.5">
      <c r="M60" s="62"/>
      <c r="O60" s="80" t="s">
        <v>346</v>
      </c>
      <c r="P60" s="62"/>
      <c r="Q60" s="80" t="s">
        <v>346</v>
      </c>
    </row>
    <row r="61" spans="13:17" x14ac:dyDescent="0.5">
      <c r="M61" s="62"/>
      <c r="O61" s="80" t="s">
        <v>24</v>
      </c>
      <c r="P61" s="62"/>
      <c r="Q61" s="80" t="s">
        <v>24</v>
      </c>
    </row>
    <row r="62" spans="13:17" x14ac:dyDescent="0.5">
      <c r="M62" s="62"/>
      <c r="O62" s="80" t="s">
        <v>7</v>
      </c>
      <c r="P62" s="62"/>
      <c r="Q62" s="80" t="s">
        <v>7</v>
      </c>
    </row>
    <row r="63" spans="13:17" x14ac:dyDescent="0.5">
      <c r="M63" s="62"/>
      <c r="O63" s="80" t="s">
        <v>400</v>
      </c>
      <c r="P63" s="62"/>
      <c r="Q63" s="80" t="s">
        <v>400</v>
      </c>
    </row>
    <row r="64" spans="13:17" x14ac:dyDescent="0.5">
      <c r="M64" s="62"/>
      <c r="O64" s="80" t="s">
        <v>398</v>
      </c>
      <c r="P64" s="62"/>
      <c r="Q64" s="80" t="s">
        <v>398</v>
      </c>
    </row>
    <row r="65" spans="13:17" x14ac:dyDescent="0.5">
      <c r="M65" s="62"/>
      <c r="O65" s="80" t="str">
        <f>IF($O$6&lt;&gt;"",_xlfn.CONCAT("                    src-ip ",$O$6,"/32"),"                    src-ip &lt;IRR West System Interface IP Address&gt;/32")</f>
        <v xml:space="preserve">                    src-ip 172.29.203.140/32</v>
      </c>
      <c r="P65" s="62"/>
      <c r="Q65" s="80" t="str">
        <f>IF($O$6&lt;&gt;"",_xlfn.CONCAT("                    src-ip ",$O$6,"/32"),"                    src-ip &lt;IRR West System Interface IP Address&gt;/32")</f>
        <v xml:space="preserve">                    src-ip 172.29.203.140/32</v>
      </c>
    </row>
    <row r="66" spans="13:17" x14ac:dyDescent="0.5">
      <c r="M66" s="62"/>
      <c r="O66" s="80" t="s">
        <v>351</v>
      </c>
      <c r="P66" s="62"/>
      <c r="Q66" s="80" t="s">
        <v>351</v>
      </c>
    </row>
    <row r="67" spans="13:17" x14ac:dyDescent="0.5">
      <c r="M67" s="62"/>
      <c r="O67" s="80" t="s">
        <v>24</v>
      </c>
      <c r="P67" s="62"/>
      <c r="Q67" s="80" t="s">
        <v>24</v>
      </c>
    </row>
    <row r="68" spans="13:17" x14ac:dyDescent="0.5">
      <c r="M68" s="62"/>
      <c r="O68" s="80" t="s">
        <v>345</v>
      </c>
      <c r="P68" s="62"/>
      <c r="Q68" s="80" t="s">
        <v>345</v>
      </c>
    </row>
    <row r="69" spans="13:17" x14ac:dyDescent="0.5">
      <c r="M69" s="62"/>
      <c r="O69" s="80" t="s">
        <v>346</v>
      </c>
      <c r="P69" s="62"/>
      <c r="Q69" s="80" t="s">
        <v>346</v>
      </c>
    </row>
    <row r="70" spans="13:17" x14ac:dyDescent="0.5">
      <c r="M70" s="62"/>
      <c r="O70" s="80" t="s">
        <v>24</v>
      </c>
      <c r="P70" s="62"/>
      <c r="Q70" s="80" t="s">
        <v>24</v>
      </c>
    </row>
    <row r="71" spans="13:17" x14ac:dyDescent="0.5">
      <c r="M71" s="62"/>
      <c r="O71" s="80" t="s">
        <v>7</v>
      </c>
      <c r="P71" s="62"/>
      <c r="Q71" s="80" t="s">
        <v>7</v>
      </c>
    </row>
    <row r="72" spans="13:17" x14ac:dyDescent="0.5">
      <c r="M72" s="62"/>
      <c r="O72" s="80" t="s">
        <v>401</v>
      </c>
      <c r="P72" s="62"/>
      <c r="Q72" s="80" t="s">
        <v>401</v>
      </c>
    </row>
    <row r="73" spans="13:17" x14ac:dyDescent="0.5">
      <c r="M73" s="62"/>
      <c r="O73" s="80" t="s">
        <v>343</v>
      </c>
      <c r="P73" s="62"/>
      <c r="Q73" s="80" t="s">
        <v>343</v>
      </c>
    </row>
    <row r="74" spans="13:17" x14ac:dyDescent="0.5">
      <c r="M74" s="62"/>
      <c r="O74" s="80" t="s">
        <v>394</v>
      </c>
      <c r="P74" s="62"/>
      <c r="Q74" s="80" t="s">
        <v>394</v>
      </c>
    </row>
    <row r="75" spans="13:17" x14ac:dyDescent="0.5">
      <c r="M75" s="62"/>
      <c r="O75" s="80" t="str">
        <f>IF($Q$6&lt;&gt;"",_xlfn.CONCAT("                    src-ip ",$Q$6,"/32"),"                    src-ip &lt;IRR East System Interface IP Address&gt;/32")</f>
        <v xml:space="preserve">                    src-ip 172.29.203.137/32</v>
      </c>
      <c r="P75" s="62"/>
      <c r="Q75" s="80" t="str">
        <f>IF($Q$6&lt;&gt;"",_xlfn.CONCAT("                    src-ip ",$Q$6,"/32"),"                    src-ip &lt;IRR East System Interface IP Address&gt;/32")</f>
        <v xml:space="preserve">                    src-ip 172.29.203.137/32</v>
      </c>
    </row>
    <row r="76" spans="13:17" x14ac:dyDescent="0.5">
      <c r="M76" s="62"/>
      <c r="O76" s="80" t="s">
        <v>24</v>
      </c>
      <c r="P76" s="62"/>
      <c r="Q76" s="80" t="s">
        <v>24</v>
      </c>
    </row>
    <row r="77" spans="13:17" x14ac:dyDescent="0.5">
      <c r="M77" s="62"/>
      <c r="O77" s="80" t="s">
        <v>345</v>
      </c>
      <c r="P77" s="62"/>
      <c r="Q77" s="80" t="s">
        <v>345</v>
      </c>
    </row>
    <row r="78" spans="13:17" x14ac:dyDescent="0.5">
      <c r="M78" s="62"/>
      <c r="O78" s="80" t="s">
        <v>346</v>
      </c>
      <c r="P78" s="62"/>
      <c r="Q78" s="80" t="s">
        <v>346</v>
      </c>
    </row>
    <row r="79" spans="13:17" x14ac:dyDescent="0.5">
      <c r="M79" s="62"/>
      <c r="O79" s="80" t="s">
        <v>24</v>
      </c>
      <c r="P79" s="62"/>
      <c r="Q79" s="80" t="s">
        <v>24</v>
      </c>
    </row>
    <row r="80" spans="13:17" x14ac:dyDescent="0.5">
      <c r="M80" s="62"/>
      <c r="O80" s="80" t="s">
        <v>7</v>
      </c>
      <c r="P80" s="62"/>
      <c r="Q80" s="80" t="s">
        <v>7</v>
      </c>
    </row>
    <row r="81" spans="13:17" x14ac:dyDescent="0.5">
      <c r="M81" s="62"/>
      <c r="O81" s="80" t="s">
        <v>402</v>
      </c>
      <c r="P81" s="62"/>
      <c r="Q81" s="80" t="s">
        <v>402</v>
      </c>
    </row>
    <row r="82" spans="13:17" x14ac:dyDescent="0.5">
      <c r="M82" s="62"/>
      <c r="O82" s="80" t="s">
        <v>348</v>
      </c>
      <c r="P82" s="62"/>
      <c r="Q82" s="80" t="s">
        <v>348</v>
      </c>
    </row>
    <row r="83" spans="13:17" x14ac:dyDescent="0.5">
      <c r="M83" s="62"/>
      <c r="O83" s="80" t="s">
        <v>396</v>
      </c>
      <c r="P83" s="62"/>
      <c r="Q83" s="80" t="s">
        <v>396</v>
      </c>
    </row>
    <row r="84" spans="13:17" x14ac:dyDescent="0.5">
      <c r="M84" s="62"/>
      <c r="O84" s="80" t="str">
        <f>IF($Q$6&lt;&gt;"",_xlfn.CONCAT("                    src-ip ",$Q$6,"/32"),"                    src-ip &lt;IRR East System Interface IP Address&gt;/32")</f>
        <v xml:space="preserve">                    src-ip 172.29.203.137/32</v>
      </c>
      <c r="P84" s="62"/>
      <c r="Q84" s="80" t="str">
        <f>IF($Q$6&lt;&gt;"",_xlfn.CONCAT("                    src-ip ",$Q$6,"/32"),"                    src-ip &lt;IRR East System Interface IP Address&gt;/32")</f>
        <v xml:space="preserve">                    src-ip 172.29.203.137/32</v>
      </c>
    </row>
    <row r="85" spans="13:17" x14ac:dyDescent="0.5">
      <c r="M85" s="62"/>
      <c r="O85" s="80" t="s">
        <v>24</v>
      </c>
      <c r="P85" s="62"/>
      <c r="Q85" s="80" t="s">
        <v>24</v>
      </c>
    </row>
    <row r="86" spans="13:17" x14ac:dyDescent="0.5">
      <c r="M86" s="62"/>
      <c r="O86" s="80" t="s">
        <v>345</v>
      </c>
      <c r="P86" s="62"/>
      <c r="Q86" s="80" t="s">
        <v>345</v>
      </c>
    </row>
    <row r="87" spans="13:17" x14ac:dyDescent="0.5">
      <c r="M87" s="62"/>
      <c r="O87" s="80" t="s">
        <v>346</v>
      </c>
      <c r="P87" s="62"/>
      <c r="Q87" s="80" t="s">
        <v>346</v>
      </c>
    </row>
    <row r="88" spans="13:17" x14ac:dyDescent="0.5">
      <c r="M88" s="62"/>
      <c r="O88" s="80" t="s">
        <v>24</v>
      </c>
      <c r="P88" s="62"/>
      <c r="Q88" s="80" t="s">
        <v>24</v>
      </c>
    </row>
    <row r="89" spans="13:17" x14ac:dyDescent="0.5">
      <c r="M89" s="62"/>
      <c r="O89" s="80" t="s">
        <v>7</v>
      </c>
      <c r="P89" s="62"/>
      <c r="Q89" s="80" t="s">
        <v>7</v>
      </c>
    </row>
    <row r="90" spans="13:17" x14ac:dyDescent="0.5">
      <c r="M90" s="62"/>
      <c r="O90" s="80" t="s">
        <v>403</v>
      </c>
      <c r="P90" s="62"/>
      <c r="Q90" s="80" t="s">
        <v>403</v>
      </c>
    </row>
    <row r="91" spans="13:17" x14ac:dyDescent="0.5">
      <c r="M91" s="62"/>
      <c r="O91" s="80" t="s">
        <v>398</v>
      </c>
      <c r="P91" s="62"/>
      <c r="Q91" s="80" t="s">
        <v>398</v>
      </c>
    </row>
    <row r="92" spans="13:17" x14ac:dyDescent="0.5">
      <c r="M92" s="62"/>
      <c r="O92" s="80" t="str">
        <f>IF($Q$6&lt;&gt;"",_xlfn.CONCAT("                    src-ip ",$Q$6,"/32"),"                    src-ip &lt;IRR East System Interface IP Address&gt;/32")</f>
        <v xml:space="preserve">                    src-ip 172.29.203.137/32</v>
      </c>
      <c r="P92" s="62"/>
      <c r="Q92" s="80" t="str">
        <f>IF($Q$6&lt;&gt;"",_xlfn.CONCAT("                    src-ip ",$Q$6,"/32"),"                    src-ip &lt;IRR East System Interface IP Address&gt;/32")</f>
        <v xml:space="preserve">                    src-ip 172.29.203.137/32</v>
      </c>
    </row>
    <row r="93" spans="13:17" x14ac:dyDescent="0.5">
      <c r="M93" s="62"/>
      <c r="O93" s="80" t="s">
        <v>351</v>
      </c>
      <c r="P93" s="62"/>
      <c r="Q93" s="80" t="s">
        <v>351</v>
      </c>
    </row>
    <row r="94" spans="13:17" x14ac:dyDescent="0.5">
      <c r="M94" s="62"/>
      <c r="O94" s="80" t="s">
        <v>24</v>
      </c>
      <c r="P94" s="62"/>
      <c r="Q94" s="80" t="s">
        <v>24</v>
      </c>
    </row>
    <row r="95" spans="13:17" x14ac:dyDescent="0.5">
      <c r="M95" s="62"/>
      <c r="O95" s="80" t="s">
        <v>345</v>
      </c>
      <c r="P95" s="62"/>
      <c r="Q95" s="80" t="s">
        <v>345</v>
      </c>
    </row>
    <row r="96" spans="13:17" x14ac:dyDescent="0.5">
      <c r="M96" s="62"/>
      <c r="O96" s="80" t="s">
        <v>346</v>
      </c>
      <c r="P96" s="62"/>
      <c r="Q96" s="80" t="s">
        <v>346</v>
      </c>
    </row>
    <row r="97" spans="13:17" x14ac:dyDescent="0.5">
      <c r="M97" s="62"/>
      <c r="O97" s="80" t="s">
        <v>24</v>
      </c>
      <c r="P97" s="62"/>
      <c r="Q97" s="80" t="s">
        <v>24</v>
      </c>
    </row>
    <row r="98" spans="13:17" x14ac:dyDescent="0.5">
      <c r="M98" s="62"/>
      <c r="O98" s="80" t="s">
        <v>7</v>
      </c>
      <c r="P98" s="62"/>
      <c r="Q98" s="80" t="s">
        <v>7</v>
      </c>
    </row>
    <row r="99" spans="13:17" x14ac:dyDescent="0.5">
      <c r="M99" s="62"/>
      <c r="O99" s="80" t="s">
        <v>404</v>
      </c>
      <c r="P99" s="62"/>
      <c r="Q99" s="80" t="s">
        <v>404</v>
      </c>
    </row>
    <row r="100" spans="13:17" x14ac:dyDescent="0.5">
      <c r="M100" s="62"/>
      <c r="O100" s="80" t="s">
        <v>398</v>
      </c>
      <c r="P100" s="62"/>
      <c r="Q100" s="80" t="s">
        <v>398</v>
      </c>
    </row>
    <row r="101" spans="13:17" x14ac:dyDescent="0.5">
      <c r="M101" s="62"/>
      <c r="O101" s="80" t="str">
        <f>IF($Q$6&lt;&gt;"",_xlfn.CONCAT("                    src-ip ",$Q$6,"/32"),"                    src-ip &lt;IRR East System Interface IP Address&gt;/32")</f>
        <v xml:space="preserve">                    src-ip 172.29.203.137/32</v>
      </c>
      <c r="P101" s="62"/>
      <c r="Q101" s="80" t="str">
        <f>IF($Q$6&lt;&gt;"",_xlfn.CONCAT("                    src-ip ",$Q$6,"/32"),"                    src-ip &lt;IRR East System Interface IP Address&gt;/32")</f>
        <v xml:space="preserve">                    src-ip 172.29.203.137/32</v>
      </c>
    </row>
    <row r="102" spans="13:17" x14ac:dyDescent="0.5">
      <c r="M102" s="62"/>
      <c r="O102" s="80" t="s">
        <v>349</v>
      </c>
      <c r="P102" s="62"/>
      <c r="Q102" s="80" t="s">
        <v>349</v>
      </c>
    </row>
    <row r="103" spans="13:17" x14ac:dyDescent="0.5">
      <c r="M103" s="62"/>
      <c r="O103" s="80" t="s">
        <v>24</v>
      </c>
      <c r="P103" s="62"/>
      <c r="Q103" s="80" t="s">
        <v>24</v>
      </c>
    </row>
    <row r="104" spans="13:17" x14ac:dyDescent="0.5">
      <c r="M104" s="62"/>
      <c r="O104" s="80" t="s">
        <v>345</v>
      </c>
      <c r="P104" s="62"/>
      <c r="Q104" s="80" t="s">
        <v>345</v>
      </c>
    </row>
    <row r="105" spans="13:17" x14ac:dyDescent="0.5">
      <c r="M105" s="62"/>
      <c r="O105" s="80" t="s">
        <v>346</v>
      </c>
      <c r="P105" s="62"/>
      <c r="Q105" s="80" t="s">
        <v>346</v>
      </c>
    </row>
    <row r="106" spans="13:17" x14ac:dyDescent="0.5">
      <c r="M106" s="62"/>
      <c r="O106" s="80" t="s">
        <v>24</v>
      </c>
      <c r="P106" s="62"/>
      <c r="Q106" s="80" t="s">
        <v>24</v>
      </c>
    </row>
    <row r="107" spans="13:17" x14ac:dyDescent="0.5">
      <c r="M107" s="62"/>
      <c r="O107" s="80" t="s">
        <v>7</v>
      </c>
      <c r="P107" s="62"/>
      <c r="Q107" s="80" t="s">
        <v>7</v>
      </c>
    </row>
    <row r="108" spans="13:17" x14ac:dyDescent="0.5">
      <c r="M108" s="62"/>
      <c r="O108" s="80" t="s">
        <v>405</v>
      </c>
      <c r="P108" s="62"/>
      <c r="Q108" s="80" t="s">
        <v>405</v>
      </c>
    </row>
    <row r="109" spans="13:17" x14ac:dyDescent="0.5">
      <c r="M109" s="62"/>
      <c r="O109" s="80" t="s">
        <v>398</v>
      </c>
      <c r="P109" s="62"/>
      <c r="Q109" s="80" t="s">
        <v>398</v>
      </c>
    </row>
    <row r="110" spans="13:17" x14ac:dyDescent="0.5">
      <c r="M110" s="62"/>
      <c r="O110" s="80" t="str">
        <f>IF($Q$6&lt;&gt;"",_xlfn.CONCAT("                    src-ip ",$Q$6,"/32"),"                    src-ip &lt;IRR East System Interface IP Address&gt;/32")</f>
        <v xml:space="preserve">                    src-ip 172.29.203.137/32</v>
      </c>
      <c r="P110" s="62"/>
      <c r="Q110" s="80" t="str">
        <f>IF($Q$6&lt;&gt;"",_xlfn.CONCAT("                    src-ip ",$Q$6,"/32"),"                    src-ip &lt;IRR East System Interface IP Address&gt;/32")</f>
        <v xml:space="preserve">                    src-ip 172.29.203.137/32</v>
      </c>
    </row>
    <row r="111" spans="13:17" x14ac:dyDescent="0.5">
      <c r="M111" s="62"/>
      <c r="O111" s="80" t="s">
        <v>351</v>
      </c>
      <c r="P111" s="62"/>
      <c r="Q111" s="80" t="s">
        <v>351</v>
      </c>
    </row>
    <row r="112" spans="13:17" x14ac:dyDescent="0.5">
      <c r="M112" s="62"/>
      <c r="O112" s="80" t="s">
        <v>24</v>
      </c>
      <c r="P112" s="62"/>
      <c r="Q112" s="80" t="s">
        <v>24</v>
      </c>
    </row>
    <row r="113" spans="13:17" x14ac:dyDescent="0.5">
      <c r="M113" s="62"/>
      <c r="O113" s="80" t="s">
        <v>345</v>
      </c>
      <c r="P113" s="62"/>
      <c r="Q113" s="80" t="s">
        <v>345</v>
      </c>
    </row>
    <row r="114" spans="13:17" x14ac:dyDescent="0.5">
      <c r="M114" s="62"/>
      <c r="O114" s="80" t="s">
        <v>346</v>
      </c>
      <c r="P114" s="62"/>
      <c r="Q114" s="80" t="s">
        <v>346</v>
      </c>
    </row>
    <row r="115" spans="13:17" x14ac:dyDescent="0.5">
      <c r="M115" s="62"/>
      <c r="O115" s="80" t="s">
        <v>24</v>
      </c>
      <c r="P115" s="62"/>
      <c r="Q115" s="80" t="s">
        <v>24</v>
      </c>
    </row>
    <row r="116" spans="13:17" ht="14.7" thickBot="1" x14ac:dyDescent="0.55000000000000004">
      <c r="M116" s="62"/>
      <c r="O116" s="83" t="s">
        <v>7</v>
      </c>
      <c r="P116" s="62"/>
      <c r="Q116" s="80" t="s">
        <v>7</v>
      </c>
    </row>
    <row r="117" spans="13:17" x14ac:dyDescent="0.5">
      <c r="M117" s="62"/>
      <c r="N117" s="50" t="s">
        <v>423</v>
      </c>
      <c r="O117" s="79" t="s">
        <v>406</v>
      </c>
      <c r="P117" s="70"/>
      <c r="Q117" s="79" t="s">
        <v>406</v>
      </c>
    </row>
    <row r="118" spans="13:17" x14ac:dyDescent="0.5">
      <c r="M118" s="62"/>
      <c r="N118" s="51"/>
      <c r="O118" s="80" t="s">
        <v>407</v>
      </c>
      <c r="P118" s="71"/>
      <c r="Q118" s="80" t="s">
        <v>407</v>
      </c>
    </row>
    <row r="119" spans="13:17" x14ac:dyDescent="0.5">
      <c r="M119" s="62"/>
      <c r="N119" s="51"/>
      <c r="O119" s="80" t="str">
        <f>IF(O$4&lt;&gt;"",_xlfn.CONCAT("                    dst-ip ",O$4,"/32"),"                    dst-ip &lt;B4B-01 System IPv4 address&gt;/32")</f>
        <v xml:space="preserve">                    dst-ip 172.29.202.4/32</v>
      </c>
      <c r="P119" s="71"/>
      <c r="Q119" s="80" t="str">
        <f>IF(Q$4&lt;&gt;"",_xlfn.CONCAT("                    dst-ip ",Q$4,"/32"),"                    dst-ip &lt;B4B-02 System IPv4 address&gt;/32")</f>
        <v xml:space="preserve">                    dst-ip 172.29.242.20/32</v>
      </c>
    </row>
    <row r="120" spans="13:17" x14ac:dyDescent="0.5">
      <c r="M120" s="62"/>
      <c r="N120" s="51"/>
      <c r="O120" s="80" t="s">
        <v>394</v>
      </c>
      <c r="P120" s="71"/>
      <c r="Q120" s="80" t="s">
        <v>394</v>
      </c>
    </row>
    <row r="121" spans="13:17" x14ac:dyDescent="0.5">
      <c r="M121" s="62"/>
      <c r="N121" s="51"/>
      <c r="O121" s="80" t="str">
        <f>IF(Q$4&lt;&gt;"",_xlfn.CONCAT("                    src-ip ",Q$4,"/32"),"                    src-ip &lt;B4B-02 System IPv4 address&gt;/32")</f>
        <v xml:space="preserve">                    src-ip 172.29.242.20/32</v>
      </c>
      <c r="P121" s="71"/>
      <c r="Q121" s="80" t="str">
        <f>IF(O$4&lt;&gt;"",_xlfn.CONCAT("                    src-ip ",O$4,"/32"),"                    src-ip &lt;B4B-01 System IPv4 address&gt;/32")</f>
        <v xml:space="preserve">                    src-ip 172.29.202.4/32</v>
      </c>
    </row>
    <row r="122" spans="13:17" x14ac:dyDescent="0.5">
      <c r="M122" s="62"/>
      <c r="N122" s="51"/>
      <c r="O122" s="80" t="s">
        <v>24</v>
      </c>
      <c r="P122" s="71"/>
      <c r="Q122" s="80" t="s">
        <v>24</v>
      </c>
    </row>
    <row r="123" spans="13:17" x14ac:dyDescent="0.5">
      <c r="M123" s="62"/>
      <c r="N123" s="51"/>
      <c r="O123" s="80" t="s">
        <v>345</v>
      </c>
      <c r="P123" s="71"/>
      <c r="Q123" s="80" t="s">
        <v>345</v>
      </c>
    </row>
    <row r="124" spans="13:17" x14ac:dyDescent="0.5">
      <c r="M124" s="62"/>
      <c r="N124" s="51"/>
      <c r="O124" s="80" t="s">
        <v>346</v>
      </c>
      <c r="P124" s="71"/>
      <c r="Q124" s="80" t="s">
        <v>346</v>
      </c>
    </row>
    <row r="125" spans="13:17" x14ac:dyDescent="0.5">
      <c r="M125" s="62"/>
      <c r="N125" s="51"/>
      <c r="O125" s="80" t="s">
        <v>24</v>
      </c>
      <c r="P125" s="71"/>
      <c r="Q125" s="80" t="s">
        <v>24</v>
      </c>
    </row>
    <row r="126" spans="13:17" x14ac:dyDescent="0.5">
      <c r="M126" s="62"/>
      <c r="N126" s="51"/>
      <c r="O126" s="80" t="s">
        <v>7</v>
      </c>
      <c r="P126" s="71"/>
      <c r="Q126" s="80" t="s">
        <v>7</v>
      </c>
    </row>
    <row r="127" spans="13:17" x14ac:dyDescent="0.5">
      <c r="M127" s="62"/>
      <c r="N127" s="51"/>
      <c r="O127" s="80" t="s">
        <v>408</v>
      </c>
      <c r="P127" s="71"/>
      <c r="Q127" s="80" t="s">
        <v>408</v>
      </c>
    </row>
    <row r="128" spans="13:17" x14ac:dyDescent="0.5">
      <c r="M128" s="62"/>
      <c r="N128" s="51"/>
      <c r="O128" s="80" t="s">
        <v>398</v>
      </c>
      <c r="P128" s="71"/>
      <c r="Q128" s="80" t="s">
        <v>398</v>
      </c>
    </row>
    <row r="129" spans="13:17" x14ac:dyDescent="0.5">
      <c r="M129" s="62"/>
      <c r="N129" s="51"/>
      <c r="O129" s="80" t="str">
        <f>IF(O$4&lt;&gt;"",_xlfn.CONCAT("                    dst-ip ",O$4,"/32"),"                    dst-ip &lt;B4B-01 System IPv4 address&gt;/32")</f>
        <v xml:space="preserve">                    dst-ip 172.29.202.4/32</v>
      </c>
      <c r="P129" s="71"/>
      <c r="Q129" s="80" t="str">
        <f>IF(Q$4&lt;&gt;"",_xlfn.CONCAT("                    dst-ip ",Q$4,"/32"),"                    dst-ip &lt;B4B-02 System IPv4 address&gt;/32")</f>
        <v xml:space="preserve">                    dst-ip 172.29.242.20/32</v>
      </c>
    </row>
    <row r="130" spans="13:17" x14ac:dyDescent="0.5">
      <c r="M130" s="62"/>
      <c r="N130" s="51"/>
      <c r="O130" s="80" t="s">
        <v>396</v>
      </c>
      <c r="P130" s="71"/>
      <c r="Q130" s="80" t="s">
        <v>396</v>
      </c>
    </row>
    <row r="131" spans="13:17" x14ac:dyDescent="0.5">
      <c r="M131" s="62"/>
      <c r="N131" s="51"/>
      <c r="O131" s="80" t="str">
        <f>IF(Q$4&lt;&gt;"",_xlfn.CONCAT("                    src-ip ",Q$4,"/32"),"                    src-ip &lt;B4B-02 System IPv4 address&gt;/32")</f>
        <v xml:space="preserve">                    src-ip 172.29.242.20/32</v>
      </c>
      <c r="P131" s="71"/>
      <c r="Q131" s="80" t="str">
        <f>IF(O$4&lt;&gt;"",_xlfn.CONCAT("                    src-ip ",O$4,"/32"),"                    src-ip &lt;B4B-01 System IPv4 address&gt;/32")</f>
        <v xml:space="preserve">                    src-ip 172.29.202.4/32</v>
      </c>
    </row>
    <row r="132" spans="13:17" x14ac:dyDescent="0.5">
      <c r="M132" s="62"/>
      <c r="N132" s="51"/>
      <c r="O132" s="80" t="s">
        <v>24</v>
      </c>
      <c r="P132" s="71"/>
      <c r="Q132" s="80" t="s">
        <v>24</v>
      </c>
    </row>
    <row r="133" spans="13:17" x14ac:dyDescent="0.5">
      <c r="M133" s="62"/>
      <c r="N133" s="51"/>
      <c r="O133" s="80" t="s">
        <v>345</v>
      </c>
      <c r="P133" s="71"/>
      <c r="Q133" s="80" t="s">
        <v>345</v>
      </c>
    </row>
    <row r="134" spans="13:17" x14ac:dyDescent="0.5">
      <c r="M134" s="62"/>
      <c r="N134" s="51"/>
      <c r="O134" s="80" t="s">
        <v>346</v>
      </c>
      <c r="P134" s="71"/>
      <c r="Q134" s="80" t="s">
        <v>346</v>
      </c>
    </row>
    <row r="135" spans="13:17" x14ac:dyDescent="0.5">
      <c r="M135" s="62"/>
      <c r="N135" s="51"/>
      <c r="O135" s="80" t="s">
        <v>24</v>
      </c>
      <c r="P135" s="71"/>
      <c r="Q135" s="80" t="s">
        <v>24</v>
      </c>
    </row>
    <row r="136" spans="13:17" x14ac:dyDescent="0.5">
      <c r="M136" s="62"/>
      <c r="N136" s="51"/>
      <c r="O136" s="80" t="s">
        <v>7</v>
      </c>
      <c r="P136" s="71"/>
      <c r="Q136" s="80" t="s">
        <v>7</v>
      </c>
    </row>
    <row r="137" spans="13:17" x14ac:dyDescent="0.5">
      <c r="M137" s="62"/>
      <c r="N137" s="51"/>
      <c r="O137" s="80" t="s">
        <v>409</v>
      </c>
      <c r="P137" s="71"/>
      <c r="Q137" s="80" t="s">
        <v>409</v>
      </c>
    </row>
    <row r="138" spans="13:17" x14ac:dyDescent="0.5">
      <c r="M138" s="62"/>
      <c r="N138" s="51"/>
      <c r="O138" s="80" t="s">
        <v>398</v>
      </c>
      <c r="P138" s="71"/>
      <c r="Q138" s="80" t="s">
        <v>398</v>
      </c>
    </row>
    <row r="139" spans="13:17" x14ac:dyDescent="0.5">
      <c r="M139" s="62"/>
      <c r="N139" s="51"/>
      <c r="O139" s="80" t="str">
        <f>IF(O$4&lt;&gt;"",_xlfn.CONCAT("                    dst-ip ",O$4,"/32"),"                    dst-ip &lt;B4B-01 System IPv4 address&gt;/32")</f>
        <v xml:space="preserve">                    dst-ip 172.29.202.4/32</v>
      </c>
      <c r="P139" s="71"/>
      <c r="Q139" s="80" t="str">
        <f>IF(Q$4&lt;&gt;"",_xlfn.CONCAT("                    dst-ip ",Q$4,"/32"),"                    dst-ip &lt;B4B-02 System IPv4 address&gt;/32")</f>
        <v xml:space="preserve">                    dst-ip 172.29.242.20/32</v>
      </c>
    </row>
    <row r="140" spans="13:17" x14ac:dyDescent="0.5">
      <c r="M140" s="62"/>
      <c r="N140" s="51"/>
      <c r="O140" s="80" t="str">
        <f>IF(Q$4&lt;&gt;"",_xlfn.CONCAT("                    src-ip ",Q$4,"/32"),"                    src-ip &lt;B4B-02 System IPv4 address&gt;/32")</f>
        <v xml:space="preserve">                    src-ip 172.29.242.20/32</v>
      </c>
      <c r="P140" s="71"/>
      <c r="Q140" s="80" t="str">
        <f>IF(O$4&lt;&gt;"",_xlfn.CONCAT("                    src-ip ",O$4,"/32"),"                    src-ip &lt;B4B-01 System IPv4 address&gt;/32")</f>
        <v xml:space="preserve">                    src-ip 172.29.202.4/32</v>
      </c>
    </row>
    <row r="141" spans="13:17" x14ac:dyDescent="0.5">
      <c r="M141" s="62"/>
      <c r="N141" s="51"/>
      <c r="O141" s="80" t="s">
        <v>351</v>
      </c>
      <c r="P141" s="71"/>
      <c r="Q141" s="80" t="s">
        <v>351</v>
      </c>
    </row>
    <row r="142" spans="13:17" ht="14.7" thickBot="1" x14ac:dyDescent="0.55000000000000004">
      <c r="M142" s="62"/>
      <c r="N142" s="52"/>
      <c r="O142" s="80" t="s">
        <v>24</v>
      </c>
      <c r="P142" s="72"/>
      <c r="Q142" s="80" t="s">
        <v>24</v>
      </c>
    </row>
    <row r="143" spans="13:17" x14ac:dyDescent="0.5">
      <c r="M143" s="62"/>
      <c r="O143" s="80" t="s">
        <v>345</v>
      </c>
      <c r="P143" s="62"/>
      <c r="Q143" s="80" t="s">
        <v>345</v>
      </c>
    </row>
    <row r="144" spans="13:17" x14ac:dyDescent="0.5">
      <c r="M144" s="62"/>
      <c r="O144" s="80" t="s">
        <v>346</v>
      </c>
      <c r="P144" s="62"/>
      <c r="Q144" s="80" t="s">
        <v>346</v>
      </c>
    </row>
    <row r="145" spans="13:17" x14ac:dyDescent="0.5">
      <c r="M145" s="62"/>
      <c r="O145" s="80" t="s">
        <v>24</v>
      </c>
      <c r="P145" s="62"/>
      <c r="Q145" s="80" t="s">
        <v>24</v>
      </c>
    </row>
    <row r="146" spans="13:17" ht="14.7" thickBot="1" x14ac:dyDescent="0.55000000000000004">
      <c r="M146" s="62"/>
      <c r="O146" s="83" t="s">
        <v>7</v>
      </c>
      <c r="P146" s="62"/>
      <c r="Q146" s="83" t="s">
        <v>7</v>
      </c>
    </row>
    <row r="147" spans="13:17" x14ac:dyDescent="0.5">
      <c r="M147" s="62"/>
      <c r="O147" s="80" t="s">
        <v>340</v>
      </c>
      <c r="P147" s="62"/>
      <c r="Q147" s="80" t="s">
        <v>340</v>
      </c>
    </row>
    <row r="148" spans="13:17" ht="14.7" thickBot="1" x14ac:dyDescent="0.55000000000000004">
      <c r="M148" s="62"/>
      <c r="O148" s="83" t="s">
        <v>14</v>
      </c>
      <c r="P148" s="62"/>
      <c r="Q148" s="83" t="s">
        <v>14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3183-944A-4A6E-9F50-80A093355159}">
  <dimension ref="A1:E26"/>
  <sheetViews>
    <sheetView workbookViewId="0">
      <selection activeCell="E16" sqref="D1:E16"/>
    </sheetView>
  </sheetViews>
  <sheetFormatPr defaultColWidth="8.76171875" defaultRowHeight="10" x14ac:dyDescent="0.3"/>
  <cols>
    <col min="1" max="1" width="49.1171875" style="1" bestFit="1" customWidth="1"/>
    <col min="2" max="2" width="8.76171875" style="1"/>
    <col min="3" max="3" width="3.64453125" style="1" customWidth="1"/>
    <col min="4" max="4" width="45.64453125" style="1" bestFit="1" customWidth="1"/>
    <col min="5" max="5" width="23.17578125" style="1" bestFit="1" customWidth="1"/>
    <col min="6" max="16384" width="8.76171875" style="1"/>
  </cols>
  <sheetData>
    <row r="1" spans="1:5" x14ac:dyDescent="0.3">
      <c r="A1" s="1" t="s">
        <v>19</v>
      </c>
      <c r="D1" s="1" t="s">
        <v>17</v>
      </c>
    </row>
    <row r="2" spans="1:5" x14ac:dyDescent="0.3">
      <c r="A2" s="1" t="s">
        <v>1</v>
      </c>
      <c r="D2" s="1" t="s">
        <v>1</v>
      </c>
    </row>
    <row r="3" spans="1:5" x14ac:dyDescent="0.3">
      <c r="A3" s="1" t="s">
        <v>2</v>
      </c>
      <c r="D3" s="1" t="s">
        <v>2</v>
      </c>
    </row>
    <row r="4" spans="1:5" x14ac:dyDescent="0.3">
      <c r="A4" s="1" t="s">
        <v>3</v>
      </c>
      <c r="D4" s="1" t="s">
        <v>3</v>
      </c>
    </row>
    <row r="5" spans="1:5" ht="10.35" thickBot="1" x14ac:dyDescent="0.35">
      <c r="A5" s="1" t="s">
        <v>4</v>
      </c>
      <c r="D5" s="1" t="s">
        <v>4</v>
      </c>
    </row>
    <row r="6" spans="1:5" x14ac:dyDescent="0.3">
      <c r="A6" s="1" t="s">
        <v>5</v>
      </c>
      <c r="D6" s="2" t="s">
        <v>5</v>
      </c>
    </row>
    <row r="7" spans="1:5" x14ac:dyDescent="0.3">
      <c r="A7" s="1" t="s">
        <v>6</v>
      </c>
      <c r="D7" s="3" t="s">
        <v>6</v>
      </c>
    </row>
    <row r="8" spans="1:5" x14ac:dyDescent="0.3">
      <c r="A8" s="1" t="s">
        <v>20</v>
      </c>
      <c r="D8" s="3" t="s">
        <v>20</v>
      </c>
    </row>
    <row r="9" spans="1:5" ht="10.35" thickBot="1" x14ac:dyDescent="0.35">
      <c r="A9" s="1" t="s">
        <v>7</v>
      </c>
      <c r="D9" s="3" t="s">
        <v>7</v>
      </c>
    </row>
    <row r="10" spans="1:5" x14ac:dyDescent="0.3">
      <c r="A10" s="1" t="s">
        <v>18</v>
      </c>
      <c r="D10" s="2" t="s">
        <v>18</v>
      </c>
      <c r="E10" s="5" t="s">
        <v>231</v>
      </c>
    </row>
    <row r="11" spans="1:5" ht="10.35" thickBot="1" x14ac:dyDescent="0.35">
      <c r="A11" s="1" t="s">
        <v>230</v>
      </c>
      <c r="D11" s="4" t="str">
        <f>IF(E11="","#               prefix &lt;system ipv4 address&gt;/32 exact",_xlfn.CONCAT("               prefix ",E11,"/32 exact"))</f>
        <v xml:space="preserve">               prefix 172.29.202.11/32 exact</v>
      </c>
      <c r="E11" s="6" t="s">
        <v>430</v>
      </c>
    </row>
    <row r="12" spans="1:5" ht="10.35" thickBot="1" x14ac:dyDescent="0.35">
      <c r="A12" s="1" t="s">
        <v>7</v>
      </c>
      <c r="D12" s="4" t="s">
        <v>7</v>
      </c>
    </row>
    <row r="13" spans="1:5" x14ac:dyDescent="0.3">
      <c r="A13" s="1" t="s">
        <v>8</v>
      </c>
      <c r="D13" s="1" t="s">
        <v>13</v>
      </c>
    </row>
    <row r="14" spans="1:5" x14ac:dyDescent="0.3">
      <c r="A14" s="1" t="s">
        <v>21</v>
      </c>
      <c r="D14" s="1" t="s">
        <v>14</v>
      </c>
    </row>
    <row r="15" spans="1:5" x14ac:dyDescent="0.3">
      <c r="A15" s="1" t="s">
        <v>22</v>
      </c>
      <c r="D15" s="1" t="s">
        <v>15</v>
      </c>
    </row>
    <row r="16" spans="1:5" x14ac:dyDescent="0.3">
      <c r="A16" s="1" t="s">
        <v>7</v>
      </c>
      <c r="D16" s="1" t="s">
        <v>16</v>
      </c>
    </row>
    <row r="17" spans="1:1" x14ac:dyDescent="0.3">
      <c r="A17" s="1" t="s">
        <v>9</v>
      </c>
    </row>
    <row r="18" spans="1:1" x14ac:dyDescent="0.3">
      <c r="A18" s="1" t="s">
        <v>23</v>
      </c>
    </row>
    <row r="19" spans="1:1" x14ac:dyDescent="0.3">
      <c r="A19" s="1" t="s">
        <v>10</v>
      </c>
    </row>
    <row r="20" spans="1:1" x14ac:dyDescent="0.3">
      <c r="A20" s="1" t="s">
        <v>11</v>
      </c>
    </row>
    <row r="21" spans="1:1" x14ac:dyDescent="0.3">
      <c r="A21" s="1" t="s">
        <v>12</v>
      </c>
    </row>
    <row r="22" spans="1:1" x14ac:dyDescent="0.3">
      <c r="A22" s="1" t="s">
        <v>7</v>
      </c>
    </row>
    <row r="23" spans="1:1" x14ac:dyDescent="0.3">
      <c r="A23" s="1" t="s">
        <v>13</v>
      </c>
    </row>
    <row r="24" spans="1:1" x14ac:dyDescent="0.3">
      <c r="A24" s="1" t="s">
        <v>14</v>
      </c>
    </row>
    <row r="25" spans="1:1" x14ac:dyDescent="0.3">
      <c r="A25" s="1" t="s">
        <v>15</v>
      </c>
    </row>
    <row r="26" spans="1:1" x14ac:dyDescent="0.3">
      <c r="A26" s="1" t="s">
        <v>16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4CB9C-9060-4E29-BAD8-69A7D019F20D}">
  <dimension ref="A1:AM455"/>
  <sheetViews>
    <sheetView zoomScaleNormal="100" workbookViewId="0">
      <pane xSplit="2" ySplit="1" topLeftCell="X131" activePane="bottomRight" state="frozen"/>
      <selection pane="topRight" activeCell="C1" sqref="C1"/>
      <selection pane="bottomLeft" activeCell="A2" sqref="A2"/>
      <selection pane="bottomRight" activeCell="Z139" sqref="Z139"/>
    </sheetView>
  </sheetViews>
  <sheetFormatPr defaultColWidth="8.76171875" defaultRowHeight="11.35" x14ac:dyDescent="0.35"/>
  <cols>
    <col min="1" max="1" width="43.87890625" style="10" bestFit="1" customWidth="1"/>
    <col min="2" max="2" width="17.76171875" style="10" customWidth="1"/>
    <col min="3" max="3" width="84.87890625" style="7" bestFit="1" customWidth="1"/>
    <col min="4" max="4" width="74.234375" style="10" bestFit="1" customWidth="1"/>
    <col min="5" max="5" width="0.52734375" style="7" customWidth="1"/>
    <col min="6" max="6" width="84.87890625" style="7" bestFit="1" customWidth="1"/>
    <col min="7" max="7" width="74.234375" style="10" bestFit="1" customWidth="1"/>
    <col min="8" max="8" width="0.52734375" style="7" customWidth="1"/>
    <col min="9" max="9" width="71.1171875" style="10" bestFit="1" customWidth="1"/>
    <col min="10" max="10" width="67.87890625" style="10" bestFit="1" customWidth="1"/>
    <col min="11" max="11" width="0.52734375" style="10" customWidth="1"/>
    <col min="12" max="12" width="75.17578125" style="10" bestFit="1" customWidth="1"/>
    <col min="13" max="13" width="67.87890625" style="10" bestFit="1" customWidth="1"/>
    <col min="14" max="14" width="0.64453125" style="10" customWidth="1"/>
    <col min="15" max="15" width="85.64453125" style="10" bestFit="1" customWidth="1"/>
    <col min="16" max="16" width="74.234375" style="10" bestFit="1" customWidth="1"/>
    <col min="17" max="17" width="0.64453125" style="10" customWidth="1"/>
    <col min="18" max="21" width="74.234375" style="10" customWidth="1"/>
    <col min="22" max="22" width="69.64453125" style="10" bestFit="1" customWidth="1"/>
    <col min="23" max="23" width="75.46875" style="10" customWidth="1"/>
    <col min="24" max="24" width="67.87890625" style="10" bestFit="1" customWidth="1"/>
    <col min="25" max="25" width="0.64453125" style="10" customWidth="1"/>
    <col min="26" max="26" width="76.234375" style="10" bestFit="1" customWidth="1"/>
    <col min="27" max="27" width="70.17578125" style="10" bestFit="1" customWidth="1"/>
    <col min="28" max="37" width="8.76171875" style="10"/>
    <col min="38" max="38" width="42.76171875" style="10" bestFit="1" customWidth="1"/>
    <col min="39" max="39" width="69.64453125" style="10" bestFit="1" customWidth="1"/>
    <col min="40" max="16384" width="8.76171875" style="10"/>
  </cols>
  <sheetData>
    <row r="1" spans="1:39" ht="11.7" thickBot="1" x14ac:dyDescent="0.4">
      <c r="A1" s="95"/>
      <c r="B1" s="95"/>
      <c r="C1" s="8" t="s">
        <v>104</v>
      </c>
      <c r="D1" s="8" t="s">
        <v>131</v>
      </c>
      <c r="E1" s="8"/>
      <c r="F1" s="8"/>
      <c r="G1" s="8"/>
      <c r="H1" s="8"/>
      <c r="I1" s="8"/>
      <c r="J1" s="8"/>
      <c r="K1" s="8"/>
      <c r="L1" s="8"/>
      <c r="M1" s="8"/>
      <c r="N1" s="9"/>
      <c r="O1" s="9"/>
      <c r="P1" s="9"/>
      <c r="Q1" s="9"/>
      <c r="R1" s="9" t="s">
        <v>439</v>
      </c>
      <c r="S1" s="9"/>
      <c r="T1" s="9" t="s">
        <v>439</v>
      </c>
      <c r="U1" s="9"/>
    </row>
    <row r="2" spans="1:39" s="106" customFormat="1" ht="15.35" thickBot="1" x14ac:dyDescent="0.5">
      <c r="A2" s="97" t="s">
        <v>433</v>
      </c>
      <c r="B2" s="97"/>
      <c r="C2" s="98"/>
      <c r="D2" s="98" t="s">
        <v>114</v>
      </c>
      <c r="E2" s="99"/>
      <c r="F2" s="100"/>
      <c r="G2" s="100" t="s">
        <v>115</v>
      </c>
      <c r="H2" s="99"/>
      <c r="I2" s="101"/>
      <c r="J2" s="101" t="s">
        <v>105</v>
      </c>
      <c r="L2" s="102"/>
      <c r="M2" s="102" t="s">
        <v>116</v>
      </c>
      <c r="O2" s="103"/>
      <c r="P2" s="103" t="s">
        <v>448</v>
      </c>
      <c r="R2" s="104"/>
      <c r="S2" s="136" t="s">
        <v>440</v>
      </c>
      <c r="T2" s="104"/>
      <c r="U2" s="104" t="s">
        <v>562</v>
      </c>
      <c r="W2" s="105"/>
      <c r="X2" s="105" t="s">
        <v>169</v>
      </c>
      <c r="AA2" s="98" t="s">
        <v>323</v>
      </c>
    </row>
    <row r="3" spans="1:39" x14ac:dyDescent="0.35">
      <c r="A3" s="1" t="s">
        <v>102</v>
      </c>
      <c r="C3" s="10"/>
      <c r="D3" s="11" t="s">
        <v>102</v>
      </c>
      <c r="G3" s="11" t="s">
        <v>102</v>
      </c>
      <c r="J3" s="11" t="s">
        <v>102</v>
      </c>
      <c r="M3" s="11" t="s">
        <v>102</v>
      </c>
      <c r="P3" s="11" t="s">
        <v>102</v>
      </c>
      <c r="R3" s="12"/>
      <c r="S3" s="11" t="s">
        <v>102</v>
      </c>
      <c r="T3" s="12"/>
      <c r="U3" s="11" t="s">
        <v>102</v>
      </c>
      <c r="X3" s="11" t="s">
        <v>102</v>
      </c>
      <c r="Y3" s="12"/>
      <c r="AA3" s="11" t="s">
        <v>102</v>
      </c>
    </row>
    <row r="4" spans="1:39" x14ac:dyDescent="0.35">
      <c r="A4" s="1" t="s">
        <v>103</v>
      </c>
      <c r="C4" s="10"/>
      <c r="D4" s="13" t="s">
        <v>103</v>
      </c>
      <c r="G4" s="13" t="s">
        <v>103</v>
      </c>
      <c r="J4" s="13" t="s">
        <v>103</v>
      </c>
      <c r="M4" s="13" t="s">
        <v>103</v>
      </c>
      <c r="P4" s="13" t="s">
        <v>103</v>
      </c>
      <c r="R4" s="12"/>
      <c r="S4" s="13" t="s">
        <v>103</v>
      </c>
      <c r="T4" s="12"/>
      <c r="U4" s="13" t="s">
        <v>103</v>
      </c>
      <c r="X4" s="13" t="s">
        <v>103</v>
      </c>
      <c r="Y4" s="12"/>
      <c r="AA4" s="13" t="s">
        <v>103</v>
      </c>
    </row>
    <row r="5" spans="1:39" x14ac:dyDescent="0.35">
      <c r="A5" s="1" t="s">
        <v>102</v>
      </c>
      <c r="C5" s="10"/>
      <c r="D5" s="13" t="s">
        <v>102</v>
      </c>
      <c r="G5" s="13" t="s">
        <v>102</v>
      </c>
      <c r="J5" s="13" t="s">
        <v>102</v>
      </c>
      <c r="M5" s="13" t="s">
        <v>102</v>
      </c>
      <c r="P5" s="13" t="s">
        <v>102</v>
      </c>
      <c r="R5" s="12"/>
      <c r="S5" s="13" t="s">
        <v>102</v>
      </c>
      <c r="T5" s="12"/>
      <c r="U5" s="13" t="s">
        <v>102</v>
      </c>
      <c r="X5" s="13" t="s">
        <v>102</v>
      </c>
      <c r="Y5" s="12"/>
      <c r="AA5" s="13" t="s">
        <v>102</v>
      </c>
    </row>
    <row r="6" spans="1:39" ht="14.35" x14ac:dyDescent="0.5">
      <c r="A6" s="1" t="s">
        <v>1</v>
      </c>
      <c r="B6" s="1"/>
      <c r="D6" s="13" t="s">
        <v>1</v>
      </c>
      <c r="F6"/>
      <c r="G6" s="13" t="s">
        <v>1</v>
      </c>
      <c r="J6" s="13" t="s">
        <v>1</v>
      </c>
      <c r="M6" s="13" t="s">
        <v>1</v>
      </c>
      <c r="P6" s="13" t="s">
        <v>1</v>
      </c>
      <c r="R6" s="12"/>
      <c r="S6" s="13" t="s">
        <v>1</v>
      </c>
      <c r="T6" s="12"/>
      <c r="U6" s="13" t="s">
        <v>1</v>
      </c>
      <c r="X6" s="13" t="s">
        <v>1</v>
      </c>
      <c r="Y6" s="12"/>
      <c r="AA6" s="13" t="s">
        <v>1</v>
      </c>
    </row>
    <row r="7" spans="1:39" x14ac:dyDescent="0.35">
      <c r="A7" s="1" t="s">
        <v>2</v>
      </c>
      <c r="B7" s="1"/>
      <c r="D7" s="13" t="s">
        <v>2</v>
      </c>
      <c r="G7" s="13" t="s">
        <v>2</v>
      </c>
      <c r="J7" s="13" t="s">
        <v>2</v>
      </c>
      <c r="M7" s="13" t="s">
        <v>2</v>
      </c>
      <c r="P7" s="13" t="s">
        <v>2</v>
      </c>
      <c r="R7" s="12"/>
      <c r="S7" s="13" t="s">
        <v>2</v>
      </c>
      <c r="T7" s="12"/>
      <c r="U7" s="13" t="s">
        <v>2</v>
      </c>
      <c r="X7" s="13" t="s">
        <v>2</v>
      </c>
      <c r="Y7" s="12"/>
      <c r="AA7" s="13" t="s">
        <v>2</v>
      </c>
    </row>
    <row r="8" spans="1:39" x14ac:dyDescent="0.35">
      <c r="A8" s="1" t="s">
        <v>3</v>
      </c>
      <c r="B8" s="1"/>
      <c r="D8" s="13" t="s">
        <v>3</v>
      </c>
      <c r="G8" s="13" t="s">
        <v>3</v>
      </c>
      <c r="J8" s="13" t="s">
        <v>3</v>
      </c>
      <c r="M8" s="13" t="s">
        <v>3</v>
      </c>
      <c r="P8" s="13" t="s">
        <v>3</v>
      </c>
      <c r="R8" s="12"/>
      <c r="S8" s="13" t="s">
        <v>3</v>
      </c>
      <c r="T8" s="12"/>
      <c r="U8" s="13" t="s">
        <v>3</v>
      </c>
      <c r="X8" s="13" t="s">
        <v>3</v>
      </c>
      <c r="Y8" s="12"/>
      <c r="AA8" s="13" t="s">
        <v>3</v>
      </c>
    </row>
    <row r="9" spans="1:39" ht="11.7" thickBot="1" x14ac:dyDescent="0.4">
      <c r="A9" s="1" t="s">
        <v>4</v>
      </c>
      <c r="B9" s="1"/>
      <c r="D9" s="13" t="s">
        <v>4</v>
      </c>
      <c r="G9" s="13" t="s">
        <v>4</v>
      </c>
      <c r="J9" s="13" t="s">
        <v>4</v>
      </c>
      <c r="M9" s="13" t="s">
        <v>4</v>
      </c>
      <c r="P9" s="14" t="s">
        <v>4</v>
      </c>
      <c r="R9" s="12"/>
      <c r="S9" s="14" t="s">
        <v>4</v>
      </c>
      <c r="T9" s="12"/>
      <c r="U9" s="14" t="s">
        <v>4</v>
      </c>
      <c r="X9" s="14" t="s">
        <v>4</v>
      </c>
      <c r="Y9" s="12"/>
      <c r="AA9" s="14" t="s">
        <v>4</v>
      </c>
    </row>
    <row r="10" spans="1:39" x14ac:dyDescent="0.35">
      <c r="A10" s="2" t="s">
        <v>5</v>
      </c>
      <c r="B10" s="1"/>
      <c r="C10" s="15" t="s">
        <v>57</v>
      </c>
      <c r="D10" s="16" t="s">
        <v>26</v>
      </c>
      <c r="F10" s="15" t="s">
        <v>101</v>
      </c>
      <c r="G10" s="16" t="s">
        <v>91</v>
      </c>
      <c r="I10" s="15" t="s">
        <v>106</v>
      </c>
      <c r="J10" s="17" t="s">
        <v>107</v>
      </c>
      <c r="L10" s="15" t="s">
        <v>128</v>
      </c>
      <c r="M10" s="17" t="s">
        <v>124</v>
      </c>
      <c r="O10" s="15" t="s">
        <v>138</v>
      </c>
      <c r="P10" s="17" t="s">
        <v>132</v>
      </c>
      <c r="R10" s="15" t="s">
        <v>441</v>
      </c>
      <c r="S10" s="107" t="s">
        <v>162</v>
      </c>
      <c r="T10" s="15" t="s">
        <v>441</v>
      </c>
      <c r="U10" s="107" t="s">
        <v>162</v>
      </c>
      <c r="V10" s="10" t="s">
        <v>162</v>
      </c>
      <c r="W10" s="15" t="s">
        <v>186</v>
      </c>
      <c r="X10" s="17" t="s">
        <v>170</v>
      </c>
      <c r="Z10" s="15" t="s">
        <v>336</v>
      </c>
      <c r="AA10" s="17" t="s">
        <v>427</v>
      </c>
      <c r="AL10" s="10" t="s">
        <v>561</v>
      </c>
      <c r="AM10" s="10" t="s">
        <v>162</v>
      </c>
    </row>
    <row r="11" spans="1:39" x14ac:dyDescent="0.35">
      <c r="A11" s="3" t="s">
        <v>6</v>
      </c>
      <c r="B11" s="1"/>
      <c r="C11" s="7" t="s">
        <v>158</v>
      </c>
      <c r="D11" s="18" t="s">
        <v>27</v>
      </c>
      <c r="F11" s="7" t="s">
        <v>158</v>
      </c>
      <c r="G11" s="18" t="s">
        <v>27</v>
      </c>
      <c r="I11" s="7" t="s">
        <v>153</v>
      </c>
      <c r="J11" s="18" t="s">
        <v>108</v>
      </c>
      <c r="L11" s="7" t="s">
        <v>157</v>
      </c>
      <c r="M11" s="18" t="s">
        <v>76</v>
      </c>
      <c r="O11" s="7" t="s">
        <v>153</v>
      </c>
      <c r="P11" s="18" t="s">
        <v>133</v>
      </c>
      <c r="R11" s="122" t="s">
        <v>442</v>
      </c>
      <c r="S11" s="108" t="s">
        <v>544</v>
      </c>
      <c r="T11" s="122" t="s">
        <v>442</v>
      </c>
      <c r="U11" s="108" t="s">
        <v>544</v>
      </c>
      <c r="V11" s="10" t="s">
        <v>544</v>
      </c>
      <c r="W11" s="7" t="s">
        <v>157</v>
      </c>
      <c r="X11" s="18" t="s">
        <v>76</v>
      </c>
      <c r="Z11" s="7" t="s">
        <v>158</v>
      </c>
      <c r="AA11" s="18" t="s">
        <v>189</v>
      </c>
      <c r="AM11" s="10" t="s">
        <v>644</v>
      </c>
    </row>
    <row r="12" spans="1:39" x14ac:dyDescent="0.35">
      <c r="A12" s="3" t="s">
        <v>20</v>
      </c>
      <c r="B12" s="1"/>
      <c r="C12" s="19" t="s">
        <v>256</v>
      </c>
      <c r="D12" s="18" t="s">
        <v>28</v>
      </c>
      <c r="F12" s="19" t="s">
        <v>256</v>
      </c>
      <c r="G12" s="18" t="s">
        <v>28</v>
      </c>
      <c r="I12" s="10" t="s">
        <v>206</v>
      </c>
      <c r="J12" s="18" t="s">
        <v>28</v>
      </c>
      <c r="L12" s="10" t="s">
        <v>232</v>
      </c>
      <c r="M12" s="18" t="s">
        <v>28</v>
      </c>
      <c r="O12" s="10" t="s">
        <v>206</v>
      </c>
      <c r="P12" s="18" t="s">
        <v>28</v>
      </c>
      <c r="R12" s="123" t="s">
        <v>618</v>
      </c>
      <c r="S12" s="108" t="s">
        <v>34</v>
      </c>
      <c r="T12" s="123" t="s">
        <v>618</v>
      </c>
      <c r="U12" s="108" t="s">
        <v>34</v>
      </c>
      <c r="V12" s="10" t="s">
        <v>34</v>
      </c>
      <c r="W12" s="10" t="s">
        <v>232</v>
      </c>
      <c r="X12" s="18" t="s">
        <v>34</v>
      </c>
      <c r="Z12" s="10" t="s">
        <v>256</v>
      </c>
      <c r="AA12" s="18" t="s">
        <v>28</v>
      </c>
      <c r="AM12" s="10" t="s">
        <v>645</v>
      </c>
    </row>
    <row r="13" spans="1:39" ht="11.7" thickBot="1" x14ac:dyDescent="0.4">
      <c r="A13" s="3" t="s">
        <v>7</v>
      </c>
      <c r="B13" s="1"/>
      <c r="C13" s="19" t="s">
        <v>257</v>
      </c>
      <c r="D13" s="18" t="s">
        <v>29</v>
      </c>
      <c r="F13" s="19" t="s">
        <v>257</v>
      </c>
      <c r="G13" s="18" t="s">
        <v>29</v>
      </c>
      <c r="I13" s="10" t="s">
        <v>207</v>
      </c>
      <c r="J13" s="18" t="s">
        <v>29</v>
      </c>
      <c r="L13" s="10" t="s">
        <v>208</v>
      </c>
      <c r="M13" s="18" t="s">
        <v>29</v>
      </c>
      <c r="O13" s="10" t="s">
        <v>208</v>
      </c>
      <c r="P13" s="18" t="s">
        <v>29</v>
      </c>
      <c r="R13" s="123" t="s">
        <v>518</v>
      </c>
      <c r="S13" s="108" t="s">
        <v>35</v>
      </c>
      <c r="T13" s="123" t="s">
        <v>518</v>
      </c>
      <c r="U13" s="108" t="s">
        <v>35</v>
      </c>
      <c r="V13" s="10" t="s">
        <v>35</v>
      </c>
      <c r="W13" s="10" t="s">
        <v>301</v>
      </c>
      <c r="X13" s="18" t="s">
        <v>35</v>
      </c>
      <c r="Z13" s="10" t="s">
        <v>324</v>
      </c>
      <c r="AA13" s="18" t="s">
        <v>29</v>
      </c>
      <c r="AM13" s="10" t="s">
        <v>619</v>
      </c>
    </row>
    <row r="14" spans="1:39" x14ac:dyDescent="0.35">
      <c r="A14" s="2" t="s">
        <v>18</v>
      </c>
      <c r="B14" s="5" t="s">
        <v>231</v>
      </c>
      <c r="C14" s="19" t="s">
        <v>208</v>
      </c>
      <c r="D14" s="18" t="s">
        <v>30</v>
      </c>
      <c r="F14" s="19" t="s">
        <v>208</v>
      </c>
      <c r="G14" s="18" t="s">
        <v>30</v>
      </c>
      <c r="I14" s="10" t="s">
        <v>208</v>
      </c>
      <c r="J14" s="18" t="s">
        <v>30</v>
      </c>
      <c r="L14" s="10" t="s">
        <v>209</v>
      </c>
      <c r="M14" s="18" t="s">
        <v>30</v>
      </c>
      <c r="O14" s="10" t="s">
        <v>242</v>
      </c>
      <c r="P14" s="18" t="s">
        <v>30</v>
      </c>
      <c r="R14" s="123" t="s">
        <v>519</v>
      </c>
      <c r="S14" s="108" t="s">
        <v>30</v>
      </c>
      <c r="T14" s="123" t="s">
        <v>519</v>
      </c>
      <c r="U14" s="108" t="s">
        <v>30</v>
      </c>
      <c r="V14" s="10" t="s">
        <v>30</v>
      </c>
      <c r="W14" s="10" t="s">
        <v>208</v>
      </c>
      <c r="X14" s="18" t="s">
        <v>30</v>
      </c>
      <c r="Z14" s="10" t="s">
        <v>208</v>
      </c>
      <c r="AA14" s="18" t="s">
        <v>30</v>
      </c>
      <c r="AM14" s="10" t="s">
        <v>620</v>
      </c>
    </row>
    <row r="15" spans="1:39" ht="14.7" thickBot="1" x14ac:dyDescent="0.4">
      <c r="A15" s="4" t="str">
        <f>IF(B15="","#               prefix &lt;system ipv4 address&gt;/32 exact",_xlfn.CONCAT("               prefix ",B15,"/32 exact"))</f>
        <v xml:space="preserve">               prefix 172.29.205.59/32 exact</v>
      </c>
      <c r="B15" s="96" t="s">
        <v>691</v>
      </c>
      <c r="C15" s="19" t="s">
        <v>209</v>
      </c>
      <c r="D15" s="18" t="s">
        <v>31</v>
      </c>
      <c r="F15" s="19" t="s">
        <v>209</v>
      </c>
      <c r="G15" s="18" t="s">
        <v>31</v>
      </c>
      <c r="I15" s="10" t="s">
        <v>209</v>
      </c>
      <c r="J15" s="18" t="s">
        <v>31</v>
      </c>
      <c r="L15" s="10" t="s">
        <v>233</v>
      </c>
      <c r="M15" s="18" t="s">
        <v>31</v>
      </c>
      <c r="O15" s="10" t="s">
        <v>426</v>
      </c>
      <c r="P15" s="18" t="s">
        <v>31</v>
      </c>
      <c r="R15" s="123" t="s">
        <v>520</v>
      </c>
      <c r="S15" s="108" t="s">
        <v>36</v>
      </c>
      <c r="T15" s="123" t="s">
        <v>520</v>
      </c>
      <c r="U15" s="108" t="s">
        <v>36</v>
      </c>
      <c r="V15" s="10" t="s">
        <v>36</v>
      </c>
      <c r="W15" s="10" t="s">
        <v>242</v>
      </c>
      <c r="X15" s="18" t="s">
        <v>36</v>
      </c>
      <c r="Z15" s="10" t="s">
        <v>209</v>
      </c>
      <c r="AA15" s="18" t="s">
        <v>31</v>
      </c>
      <c r="AM15" s="10" t="s">
        <v>36</v>
      </c>
    </row>
    <row r="16" spans="1:39" ht="11.7" thickBot="1" x14ac:dyDescent="0.4">
      <c r="A16" s="4" t="s">
        <v>7</v>
      </c>
      <c r="B16" s="1"/>
      <c r="C16" s="94" t="s">
        <v>258</v>
      </c>
      <c r="D16" s="18" t="s">
        <v>32</v>
      </c>
      <c r="F16" s="94" t="s">
        <v>428</v>
      </c>
      <c r="G16" s="18" t="s">
        <v>32</v>
      </c>
      <c r="I16" s="10" t="s">
        <v>210</v>
      </c>
      <c r="J16" s="18" t="s">
        <v>32</v>
      </c>
      <c r="L16" s="10" t="s">
        <v>234</v>
      </c>
      <c r="M16" s="18" t="s">
        <v>32</v>
      </c>
      <c r="O16" s="10" t="s">
        <v>283</v>
      </c>
      <c r="P16" s="18" t="s">
        <v>32</v>
      </c>
      <c r="R16" s="12" t="s">
        <v>521</v>
      </c>
      <c r="S16" s="108" t="s">
        <v>32</v>
      </c>
      <c r="T16" s="12" t="s">
        <v>521</v>
      </c>
      <c r="U16" s="108" t="s">
        <v>32</v>
      </c>
      <c r="V16" s="10" t="s">
        <v>32</v>
      </c>
      <c r="W16" s="10" t="s">
        <v>320</v>
      </c>
      <c r="X16" s="18" t="s">
        <v>32</v>
      </c>
      <c r="Z16" s="10" t="s">
        <v>325</v>
      </c>
      <c r="AA16" s="18" t="s">
        <v>32</v>
      </c>
      <c r="AM16" s="10" t="s">
        <v>68</v>
      </c>
    </row>
    <row r="17" spans="1:39" x14ac:dyDescent="0.35">
      <c r="A17" s="1" t="s">
        <v>13</v>
      </c>
      <c r="B17" s="1"/>
      <c r="C17" s="19" t="s">
        <v>259</v>
      </c>
      <c r="D17" s="18" t="s">
        <v>33</v>
      </c>
      <c r="F17" s="19" t="s">
        <v>271</v>
      </c>
      <c r="G17" s="18" t="s">
        <v>33</v>
      </c>
      <c r="I17" s="10" t="s">
        <v>211</v>
      </c>
      <c r="J17" s="18" t="s">
        <v>33</v>
      </c>
      <c r="L17" s="10" t="s">
        <v>212</v>
      </c>
      <c r="M17" s="18" t="s">
        <v>33</v>
      </c>
      <c r="O17" s="10" t="s">
        <v>284</v>
      </c>
      <c r="P17" s="18" t="s">
        <v>33</v>
      </c>
      <c r="R17" s="123" t="s">
        <v>522</v>
      </c>
      <c r="S17" s="108" t="s">
        <v>37</v>
      </c>
      <c r="T17" s="123" t="s">
        <v>522</v>
      </c>
      <c r="U17" s="108" t="s">
        <v>37</v>
      </c>
      <c r="V17" s="10" t="s">
        <v>37</v>
      </c>
      <c r="W17" s="10" t="s">
        <v>302</v>
      </c>
      <c r="X17" s="18" t="s">
        <v>37</v>
      </c>
      <c r="Z17" s="10" t="s">
        <v>326</v>
      </c>
      <c r="AA17" s="18" t="s">
        <v>33</v>
      </c>
      <c r="AM17" s="10" t="s">
        <v>621</v>
      </c>
    </row>
    <row r="18" spans="1:39" x14ac:dyDescent="0.35">
      <c r="A18" s="1" t="s">
        <v>14</v>
      </c>
      <c r="B18" s="1"/>
      <c r="C18" s="19" t="s">
        <v>260</v>
      </c>
      <c r="D18" s="18" t="s">
        <v>32</v>
      </c>
      <c r="F18" s="19" t="s">
        <v>272</v>
      </c>
      <c r="G18" s="18" t="s">
        <v>32</v>
      </c>
      <c r="I18" s="10" t="s">
        <v>212</v>
      </c>
      <c r="J18" s="18" t="s">
        <v>32</v>
      </c>
      <c r="L18" s="10" t="s">
        <v>226</v>
      </c>
      <c r="M18" s="18" t="s">
        <v>32</v>
      </c>
      <c r="O18" s="10" t="s">
        <v>213</v>
      </c>
      <c r="P18" s="18" t="s">
        <v>32</v>
      </c>
      <c r="R18" s="123" t="s">
        <v>523</v>
      </c>
      <c r="S18" s="108" t="s">
        <v>38</v>
      </c>
      <c r="T18" s="123" t="s">
        <v>523</v>
      </c>
      <c r="U18" s="108" t="s">
        <v>38</v>
      </c>
      <c r="V18" s="10" t="s">
        <v>38</v>
      </c>
      <c r="W18" s="10" t="s">
        <v>303</v>
      </c>
      <c r="X18" s="18" t="s">
        <v>38</v>
      </c>
      <c r="Z18" s="10" t="s">
        <v>212</v>
      </c>
      <c r="AA18" s="18" t="s">
        <v>32</v>
      </c>
      <c r="AM18" s="10" t="s">
        <v>38</v>
      </c>
    </row>
    <row r="19" spans="1:39" x14ac:dyDescent="0.35">
      <c r="A19" s="1" t="s">
        <v>15</v>
      </c>
      <c r="B19" s="1"/>
      <c r="C19" s="19" t="s">
        <v>212</v>
      </c>
      <c r="D19" s="18" t="s">
        <v>24</v>
      </c>
      <c r="F19" s="19" t="s">
        <v>212</v>
      </c>
      <c r="G19" s="18" t="s">
        <v>24</v>
      </c>
      <c r="I19" s="10" t="s">
        <v>213</v>
      </c>
      <c r="J19" s="18" t="s">
        <v>24</v>
      </c>
      <c r="L19" s="10" t="s">
        <v>235</v>
      </c>
      <c r="M19" s="18" t="s">
        <v>24</v>
      </c>
      <c r="O19" s="10" t="s">
        <v>425</v>
      </c>
      <c r="P19" s="18" t="s">
        <v>24</v>
      </c>
      <c r="R19" s="123" t="s">
        <v>524</v>
      </c>
      <c r="S19" s="108" t="s">
        <v>32</v>
      </c>
      <c r="T19" s="123" t="s">
        <v>524</v>
      </c>
      <c r="U19" s="108" t="s">
        <v>32</v>
      </c>
      <c r="V19" s="10" t="s">
        <v>32</v>
      </c>
      <c r="W19" s="10" t="s">
        <v>293</v>
      </c>
      <c r="X19" s="18" t="s">
        <v>32</v>
      </c>
      <c r="Z19" s="10" t="s">
        <v>226</v>
      </c>
      <c r="AA19" s="18" t="s">
        <v>24</v>
      </c>
      <c r="AM19" s="10" t="s">
        <v>68</v>
      </c>
    </row>
    <row r="20" spans="1:39" x14ac:dyDescent="0.35">
      <c r="A20" s="1" t="s">
        <v>16</v>
      </c>
      <c r="B20" s="1"/>
      <c r="C20" s="19" t="s">
        <v>213</v>
      </c>
      <c r="D20" s="18" t="s">
        <v>34</v>
      </c>
      <c r="F20" s="19" t="s">
        <v>213</v>
      </c>
      <c r="G20" s="18" t="s">
        <v>34</v>
      </c>
      <c r="I20" s="10" t="s">
        <v>214</v>
      </c>
      <c r="J20" s="18" t="s">
        <v>34</v>
      </c>
      <c r="L20" s="10" t="s">
        <v>236</v>
      </c>
      <c r="M20" s="18" t="s">
        <v>34</v>
      </c>
      <c r="O20" s="10" t="s">
        <v>286</v>
      </c>
      <c r="P20" s="18" t="s">
        <v>34</v>
      </c>
      <c r="R20" s="123" t="s">
        <v>525</v>
      </c>
      <c r="S20" s="108" t="s">
        <v>39</v>
      </c>
      <c r="T20" s="123" t="s">
        <v>525</v>
      </c>
      <c r="U20" s="108" t="s">
        <v>39</v>
      </c>
      <c r="V20" s="10" t="s">
        <v>39</v>
      </c>
      <c r="W20" s="10" t="s">
        <v>212</v>
      </c>
      <c r="X20" s="18" t="s">
        <v>39</v>
      </c>
      <c r="Z20" s="20" t="s">
        <v>327</v>
      </c>
      <c r="AA20" s="18" t="s">
        <v>34</v>
      </c>
      <c r="AM20" s="10" t="s">
        <v>622</v>
      </c>
    </row>
    <row r="21" spans="1:39" x14ac:dyDescent="0.35">
      <c r="C21" s="19" t="s">
        <v>261</v>
      </c>
      <c r="D21" s="18" t="s">
        <v>35</v>
      </c>
      <c r="F21" s="19" t="s">
        <v>261</v>
      </c>
      <c r="G21" s="18" t="s">
        <v>35</v>
      </c>
      <c r="I21" s="10" t="s">
        <v>215</v>
      </c>
      <c r="J21" s="18" t="s">
        <v>35</v>
      </c>
      <c r="L21" s="10" t="s">
        <v>237</v>
      </c>
      <c r="M21" s="18" t="s">
        <v>35</v>
      </c>
      <c r="O21" s="10" t="s">
        <v>216</v>
      </c>
      <c r="P21" s="18" t="s">
        <v>35</v>
      </c>
      <c r="R21" s="124" t="s">
        <v>449</v>
      </c>
      <c r="S21" s="108" t="s">
        <v>46</v>
      </c>
      <c r="T21" s="124" t="s">
        <v>449</v>
      </c>
      <c r="U21" s="108" t="s">
        <v>46</v>
      </c>
      <c r="V21" s="10" t="s">
        <v>46</v>
      </c>
      <c r="W21" s="10" t="s">
        <v>226</v>
      </c>
      <c r="X21" s="18" t="s">
        <v>46</v>
      </c>
      <c r="Z21" s="10" t="s">
        <v>328</v>
      </c>
      <c r="AA21" s="18" t="s">
        <v>35</v>
      </c>
      <c r="AM21" s="10" t="s">
        <v>46</v>
      </c>
    </row>
    <row r="22" spans="1:39" x14ac:dyDescent="0.35">
      <c r="C22" s="19" t="s">
        <v>262</v>
      </c>
      <c r="D22" s="18" t="s">
        <v>30</v>
      </c>
      <c r="F22" s="19" t="s">
        <v>273</v>
      </c>
      <c r="G22" s="18" t="s">
        <v>30</v>
      </c>
      <c r="I22" s="10" t="s">
        <v>216</v>
      </c>
      <c r="J22" s="18" t="s">
        <v>30</v>
      </c>
      <c r="L22" s="10" t="s">
        <v>216</v>
      </c>
      <c r="M22" s="18" t="s">
        <v>30</v>
      </c>
      <c r="O22" s="10" t="s">
        <v>220</v>
      </c>
      <c r="P22" s="18" t="s">
        <v>30</v>
      </c>
      <c r="R22" s="125" t="s">
        <v>526</v>
      </c>
      <c r="S22" s="108" t="s">
        <v>32</v>
      </c>
      <c r="T22" s="125" t="s">
        <v>526</v>
      </c>
      <c r="U22" s="108" t="s">
        <v>32</v>
      </c>
      <c r="V22" s="10" t="s">
        <v>32</v>
      </c>
      <c r="W22" s="20" t="s">
        <v>304</v>
      </c>
      <c r="X22" s="18" t="s">
        <v>32</v>
      </c>
      <c r="Z22" s="10" t="s">
        <v>329</v>
      </c>
      <c r="AA22" s="18" t="s">
        <v>30</v>
      </c>
      <c r="AM22" s="10" t="s">
        <v>68</v>
      </c>
    </row>
    <row r="23" spans="1:39" x14ac:dyDescent="0.35">
      <c r="C23" s="19" t="s">
        <v>263</v>
      </c>
      <c r="D23" s="18" t="s">
        <v>36</v>
      </c>
      <c r="F23" s="19" t="s">
        <v>216</v>
      </c>
      <c r="G23" s="18" t="s">
        <v>36</v>
      </c>
      <c r="I23" s="10" t="s">
        <v>217</v>
      </c>
      <c r="J23" s="18" t="s">
        <v>36</v>
      </c>
      <c r="L23" s="10" t="s">
        <v>220</v>
      </c>
      <c r="M23" s="18" t="s">
        <v>36</v>
      </c>
      <c r="O23" s="10" t="s">
        <v>285</v>
      </c>
      <c r="P23" s="18" t="s">
        <v>36</v>
      </c>
      <c r="R23" s="125" t="s">
        <v>646</v>
      </c>
      <c r="S23" s="108" t="s">
        <v>24</v>
      </c>
      <c r="T23" s="125" t="s">
        <v>646</v>
      </c>
      <c r="U23" s="108" t="s">
        <v>24</v>
      </c>
      <c r="V23" s="10" t="s">
        <v>24</v>
      </c>
      <c r="W23" s="10" t="s">
        <v>305</v>
      </c>
      <c r="X23" s="18" t="s">
        <v>24</v>
      </c>
      <c r="Z23" s="10" t="s">
        <v>338</v>
      </c>
      <c r="AA23" s="18" t="s">
        <v>36</v>
      </c>
      <c r="AM23" s="10" t="s">
        <v>647</v>
      </c>
    </row>
    <row r="24" spans="1:39" x14ac:dyDescent="0.35">
      <c r="C24" s="19" t="s">
        <v>220</v>
      </c>
      <c r="D24" s="18" t="s">
        <v>32</v>
      </c>
      <c r="F24" s="19" t="s">
        <v>220</v>
      </c>
      <c r="G24" s="18" t="s">
        <v>32</v>
      </c>
      <c r="I24" s="10" t="s">
        <v>218</v>
      </c>
      <c r="J24" s="18" t="s">
        <v>32</v>
      </c>
      <c r="L24" s="10" t="s">
        <v>238</v>
      </c>
      <c r="M24" s="18" t="s">
        <v>32</v>
      </c>
      <c r="O24" s="10" t="s">
        <v>287</v>
      </c>
      <c r="P24" s="18" t="s">
        <v>32</v>
      </c>
      <c r="R24" s="125" t="s">
        <v>648</v>
      </c>
      <c r="S24" s="108" t="s">
        <v>44</v>
      </c>
      <c r="T24" s="125" t="s">
        <v>648</v>
      </c>
      <c r="U24" s="108" t="s">
        <v>44</v>
      </c>
      <c r="V24" s="10" t="s">
        <v>44</v>
      </c>
      <c r="W24" s="10" t="s">
        <v>306</v>
      </c>
      <c r="X24" s="18" t="s">
        <v>40</v>
      </c>
      <c r="Z24" s="10" t="s">
        <v>24</v>
      </c>
      <c r="AA24" s="18" t="s">
        <v>32</v>
      </c>
      <c r="AM24" s="10" t="s">
        <v>649</v>
      </c>
    </row>
    <row r="25" spans="1:39" x14ac:dyDescent="0.35">
      <c r="C25" s="19" t="s">
        <v>7</v>
      </c>
      <c r="D25" s="18" t="s">
        <v>37</v>
      </c>
      <c r="F25" s="19" t="s">
        <v>7</v>
      </c>
      <c r="G25" s="18" t="s">
        <v>37</v>
      </c>
      <c r="I25" s="10" t="s">
        <v>219</v>
      </c>
      <c r="J25" s="18" t="s">
        <v>37</v>
      </c>
      <c r="L25" s="10" t="s">
        <v>239</v>
      </c>
      <c r="M25" s="18" t="s">
        <v>37</v>
      </c>
      <c r="O25" s="10" t="s">
        <v>216</v>
      </c>
      <c r="P25" s="18" t="s">
        <v>37</v>
      </c>
      <c r="R25" s="125" t="s">
        <v>7</v>
      </c>
      <c r="S25" s="108" t="s">
        <v>45</v>
      </c>
      <c r="T25" s="125" t="s">
        <v>7</v>
      </c>
      <c r="U25" s="108" t="s">
        <v>45</v>
      </c>
      <c r="V25" s="10" t="s">
        <v>45</v>
      </c>
      <c r="W25" s="10" t="s">
        <v>338</v>
      </c>
      <c r="X25" s="18" t="s">
        <v>41</v>
      </c>
      <c r="Z25" s="10" t="s">
        <v>7</v>
      </c>
      <c r="AA25" s="18" t="s">
        <v>37</v>
      </c>
      <c r="AM25" s="10" t="s">
        <v>623</v>
      </c>
    </row>
    <row r="26" spans="1:39" x14ac:dyDescent="0.35">
      <c r="D26" s="18" t="s">
        <v>38</v>
      </c>
      <c r="G26" s="18" t="s">
        <v>38</v>
      </c>
      <c r="I26" s="10" t="s">
        <v>216</v>
      </c>
      <c r="J26" s="18" t="s">
        <v>38</v>
      </c>
      <c r="L26" s="10" t="s">
        <v>240</v>
      </c>
      <c r="M26" s="18" t="s">
        <v>38</v>
      </c>
      <c r="O26" s="10" t="s">
        <v>24</v>
      </c>
      <c r="P26" s="18" t="s">
        <v>38</v>
      </c>
      <c r="R26" s="123" t="s">
        <v>624</v>
      </c>
      <c r="S26" s="108" t="s">
        <v>30</v>
      </c>
      <c r="T26" s="123" t="s">
        <v>624</v>
      </c>
      <c r="U26" s="108" t="s">
        <v>30</v>
      </c>
      <c r="V26" s="10" t="s">
        <v>30</v>
      </c>
      <c r="W26" s="10" t="s">
        <v>24</v>
      </c>
      <c r="X26" s="18" t="s">
        <v>30</v>
      </c>
      <c r="AA26" s="18" t="s">
        <v>38</v>
      </c>
      <c r="AM26" s="10" t="s">
        <v>620</v>
      </c>
    </row>
    <row r="27" spans="1:39" x14ac:dyDescent="0.35">
      <c r="D27" s="18" t="s">
        <v>32</v>
      </c>
      <c r="G27" s="18" t="s">
        <v>32</v>
      </c>
      <c r="I27" s="10" t="s">
        <v>220</v>
      </c>
      <c r="J27" s="18" t="s">
        <v>32</v>
      </c>
      <c r="L27" s="10" t="s">
        <v>216</v>
      </c>
      <c r="M27" s="18" t="s">
        <v>32</v>
      </c>
      <c r="O27" s="10" t="s">
        <v>7</v>
      </c>
      <c r="P27" s="18" t="s">
        <v>32</v>
      </c>
      <c r="S27" s="108" t="s">
        <v>38</v>
      </c>
      <c r="U27" s="108" t="s">
        <v>38</v>
      </c>
      <c r="V27" s="10" t="s">
        <v>38</v>
      </c>
      <c r="W27" s="10" t="s">
        <v>7</v>
      </c>
      <c r="X27" s="18" t="s">
        <v>42</v>
      </c>
      <c r="AA27" s="18" t="s">
        <v>32</v>
      </c>
      <c r="AM27" s="10" t="s">
        <v>38</v>
      </c>
    </row>
    <row r="28" spans="1:39" x14ac:dyDescent="0.35">
      <c r="D28" s="18" t="s">
        <v>39</v>
      </c>
      <c r="G28" s="18" t="s">
        <v>39</v>
      </c>
      <c r="I28" s="10" t="s">
        <v>7</v>
      </c>
      <c r="J28" s="18" t="s">
        <v>39</v>
      </c>
      <c r="L28" s="10" t="s">
        <v>220</v>
      </c>
      <c r="M28" s="18" t="s">
        <v>39</v>
      </c>
      <c r="P28" s="18" t="s">
        <v>39</v>
      </c>
      <c r="R28" s="12"/>
      <c r="S28" s="108" t="s">
        <v>32</v>
      </c>
      <c r="T28" s="12"/>
      <c r="U28" s="108" t="s">
        <v>32</v>
      </c>
      <c r="V28" s="10" t="s">
        <v>32</v>
      </c>
      <c r="X28" s="18" t="s">
        <v>32</v>
      </c>
      <c r="AA28" s="18" t="s">
        <v>39</v>
      </c>
      <c r="AM28" s="10" t="s">
        <v>68</v>
      </c>
    </row>
    <row r="29" spans="1:39" x14ac:dyDescent="0.35">
      <c r="D29" s="18" t="s">
        <v>25</v>
      </c>
      <c r="G29" s="18" t="s">
        <v>25</v>
      </c>
      <c r="J29" s="18" t="s">
        <v>46</v>
      </c>
      <c r="L29" s="10" t="s">
        <v>7</v>
      </c>
      <c r="M29" s="18" t="s">
        <v>46</v>
      </c>
      <c r="P29" s="18" t="s">
        <v>46</v>
      </c>
      <c r="R29" s="12"/>
      <c r="S29" s="108" t="s">
        <v>37</v>
      </c>
      <c r="T29" s="12"/>
      <c r="U29" s="108" t="s">
        <v>37</v>
      </c>
      <c r="V29" s="10" t="s">
        <v>37</v>
      </c>
      <c r="X29" s="18" t="s">
        <v>37</v>
      </c>
      <c r="AA29" s="18" t="s">
        <v>46</v>
      </c>
      <c r="AM29" s="10" t="s">
        <v>621</v>
      </c>
    </row>
    <row r="30" spans="1:39" x14ac:dyDescent="0.35">
      <c r="D30" s="18" t="s">
        <v>32</v>
      </c>
      <c r="G30" s="18" t="s">
        <v>32</v>
      </c>
      <c r="J30" s="18" t="s">
        <v>32</v>
      </c>
      <c r="M30" s="18" t="s">
        <v>32</v>
      </c>
      <c r="P30" s="18" t="s">
        <v>32</v>
      </c>
      <c r="R30" s="12"/>
      <c r="S30" s="108" t="s">
        <v>38</v>
      </c>
      <c r="T30" s="12"/>
      <c r="U30" s="108" t="s">
        <v>38</v>
      </c>
      <c r="V30" s="10" t="s">
        <v>38</v>
      </c>
      <c r="X30" s="18" t="s">
        <v>43</v>
      </c>
      <c r="AA30" s="18" t="s">
        <v>32</v>
      </c>
      <c r="AM30" s="10" t="s">
        <v>38</v>
      </c>
    </row>
    <row r="31" spans="1:39" x14ac:dyDescent="0.35">
      <c r="D31" s="18" t="s">
        <v>24</v>
      </c>
      <c r="G31" s="18" t="s">
        <v>24</v>
      </c>
      <c r="J31" s="18" t="s">
        <v>24</v>
      </c>
      <c r="M31" s="18" t="s">
        <v>24</v>
      </c>
      <c r="P31" s="18" t="s">
        <v>24</v>
      </c>
      <c r="R31" s="12"/>
      <c r="S31" s="108" t="s">
        <v>32</v>
      </c>
      <c r="T31" s="12"/>
      <c r="U31" s="108" t="s">
        <v>32</v>
      </c>
      <c r="V31" s="10" t="s">
        <v>32</v>
      </c>
      <c r="X31" s="18" t="s">
        <v>32</v>
      </c>
      <c r="AA31" s="18" t="s">
        <v>24</v>
      </c>
      <c r="AM31" s="10" t="s">
        <v>68</v>
      </c>
    </row>
    <row r="32" spans="1:39" x14ac:dyDescent="0.35">
      <c r="D32" s="18" t="s">
        <v>40</v>
      </c>
      <c r="G32" s="18" t="s">
        <v>40</v>
      </c>
      <c r="J32" s="18" t="s">
        <v>40</v>
      </c>
      <c r="M32" s="18" t="s">
        <v>40</v>
      </c>
      <c r="P32" s="18" t="s">
        <v>40</v>
      </c>
      <c r="R32" s="12"/>
      <c r="S32" s="108" t="s">
        <v>39</v>
      </c>
      <c r="T32" s="12"/>
      <c r="U32" s="108" t="s">
        <v>39</v>
      </c>
      <c r="V32" s="10" t="s">
        <v>39</v>
      </c>
      <c r="X32" s="18" t="s">
        <v>39</v>
      </c>
      <c r="AA32" s="18" t="s">
        <v>40</v>
      </c>
      <c r="AM32" s="10" t="s">
        <v>622</v>
      </c>
    </row>
    <row r="33" spans="4:39" x14ac:dyDescent="0.35">
      <c r="D33" s="18" t="s">
        <v>41</v>
      </c>
      <c r="G33" s="18" t="s">
        <v>41</v>
      </c>
      <c r="J33" s="18" t="s">
        <v>41</v>
      </c>
      <c r="M33" s="18" t="s">
        <v>41</v>
      </c>
      <c r="P33" s="18" t="s">
        <v>82</v>
      </c>
      <c r="R33" s="12"/>
      <c r="S33" s="108" t="s">
        <v>46</v>
      </c>
      <c r="T33" s="12"/>
      <c r="U33" s="108" t="s">
        <v>46</v>
      </c>
      <c r="V33" s="10" t="s">
        <v>46</v>
      </c>
      <c r="X33" s="18" t="s">
        <v>32</v>
      </c>
      <c r="AA33" s="18" t="s">
        <v>82</v>
      </c>
      <c r="AM33" s="10" t="s">
        <v>46</v>
      </c>
    </row>
    <row r="34" spans="4:39" x14ac:dyDescent="0.35">
      <c r="D34" s="18" t="s">
        <v>30</v>
      </c>
      <c r="G34" s="18" t="s">
        <v>30</v>
      </c>
      <c r="J34" s="18" t="s">
        <v>30</v>
      </c>
      <c r="M34" s="18" t="s">
        <v>30</v>
      </c>
      <c r="P34" s="18" t="s">
        <v>30</v>
      </c>
      <c r="R34" s="12"/>
      <c r="S34" s="108" t="s">
        <v>32</v>
      </c>
      <c r="T34" s="12"/>
      <c r="U34" s="108" t="s">
        <v>32</v>
      </c>
      <c r="V34" s="10" t="s">
        <v>32</v>
      </c>
      <c r="X34" s="18" t="s">
        <v>24</v>
      </c>
      <c r="AA34" s="18" t="s">
        <v>30</v>
      </c>
      <c r="AM34" s="10" t="s">
        <v>68</v>
      </c>
    </row>
    <row r="35" spans="4:39" x14ac:dyDescent="0.35">
      <c r="D35" s="18" t="s">
        <v>42</v>
      </c>
      <c r="G35" s="18" t="s">
        <v>42</v>
      </c>
      <c r="J35" s="18" t="s">
        <v>42</v>
      </c>
      <c r="M35" s="18" t="s">
        <v>42</v>
      </c>
      <c r="P35" s="18" t="s">
        <v>42</v>
      </c>
      <c r="R35" s="12"/>
      <c r="S35" s="108" t="s">
        <v>24</v>
      </c>
      <c r="T35" s="12"/>
      <c r="U35" s="108" t="s">
        <v>24</v>
      </c>
      <c r="V35" s="10" t="s">
        <v>24</v>
      </c>
      <c r="X35" s="18" t="s">
        <v>44</v>
      </c>
      <c r="AA35" s="18" t="s">
        <v>42</v>
      </c>
      <c r="AM35" s="10" t="s">
        <v>647</v>
      </c>
    </row>
    <row r="36" spans="4:39" x14ac:dyDescent="0.35">
      <c r="D36" s="18" t="s">
        <v>32</v>
      </c>
      <c r="G36" s="18" t="s">
        <v>32</v>
      </c>
      <c r="J36" s="18" t="s">
        <v>32</v>
      </c>
      <c r="M36" s="18" t="s">
        <v>32</v>
      </c>
      <c r="P36" s="18" t="s">
        <v>32</v>
      </c>
      <c r="R36" s="12"/>
      <c r="S36" s="108" t="s">
        <v>47</v>
      </c>
      <c r="T36" s="12"/>
      <c r="U36" s="108" t="s">
        <v>47</v>
      </c>
      <c r="V36" s="10" t="s">
        <v>47</v>
      </c>
      <c r="X36" s="18" t="s">
        <v>45</v>
      </c>
      <c r="AA36" s="18" t="s">
        <v>32</v>
      </c>
      <c r="AM36" s="10" t="s">
        <v>650</v>
      </c>
    </row>
    <row r="37" spans="4:39" x14ac:dyDescent="0.35">
      <c r="D37" s="18" t="s">
        <v>37</v>
      </c>
      <c r="G37" s="18" t="s">
        <v>37</v>
      </c>
      <c r="J37" s="18" t="s">
        <v>37</v>
      </c>
      <c r="M37" s="18" t="s">
        <v>37</v>
      </c>
      <c r="P37" s="18" t="s">
        <v>37</v>
      </c>
      <c r="R37" s="12"/>
      <c r="S37" s="108" t="s">
        <v>48</v>
      </c>
      <c r="T37" s="12"/>
      <c r="U37" s="108" t="s">
        <v>48</v>
      </c>
      <c r="V37" s="10" t="s">
        <v>48</v>
      </c>
      <c r="X37" s="18" t="s">
        <v>30</v>
      </c>
      <c r="AA37" s="18" t="s">
        <v>37</v>
      </c>
      <c r="AM37" s="10" t="s">
        <v>625</v>
      </c>
    </row>
    <row r="38" spans="4:39" x14ac:dyDescent="0.35">
      <c r="D38" s="18" t="s">
        <v>43</v>
      </c>
      <c r="G38" s="18" t="s">
        <v>43</v>
      </c>
      <c r="J38" s="18" t="s">
        <v>43</v>
      </c>
      <c r="M38" s="18" t="s">
        <v>43</v>
      </c>
      <c r="P38" s="18" t="s">
        <v>43</v>
      </c>
      <c r="R38" s="12"/>
      <c r="S38" s="108" t="s">
        <v>30</v>
      </c>
      <c r="T38" s="12"/>
      <c r="U38" s="108" t="s">
        <v>30</v>
      </c>
      <c r="V38" s="10" t="s">
        <v>30</v>
      </c>
      <c r="X38" s="18" t="s">
        <v>38</v>
      </c>
      <c r="AA38" s="18" t="s">
        <v>43</v>
      </c>
      <c r="AM38" s="10" t="s">
        <v>620</v>
      </c>
    </row>
    <row r="39" spans="4:39" x14ac:dyDescent="0.35">
      <c r="D39" s="18" t="s">
        <v>32</v>
      </c>
      <c r="G39" s="18" t="s">
        <v>32</v>
      </c>
      <c r="J39" s="18" t="s">
        <v>32</v>
      </c>
      <c r="M39" s="18" t="s">
        <v>32</v>
      </c>
      <c r="P39" s="18" t="s">
        <v>32</v>
      </c>
      <c r="R39" s="12"/>
      <c r="S39" s="108" t="s">
        <v>49</v>
      </c>
      <c r="T39" s="12"/>
      <c r="U39" s="108" t="s">
        <v>49</v>
      </c>
      <c r="V39" s="10" t="s">
        <v>49</v>
      </c>
      <c r="X39" s="18" t="s">
        <v>32</v>
      </c>
      <c r="AA39" s="18" t="s">
        <v>32</v>
      </c>
      <c r="AM39" s="10" t="s">
        <v>49</v>
      </c>
    </row>
    <row r="40" spans="4:39" x14ac:dyDescent="0.35">
      <c r="D40" s="18" t="s">
        <v>39</v>
      </c>
      <c r="G40" s="18" t="s">
        <v>39</v>
      </c>
      <c r="J40" s="18" t="s">
        <v>39</v>
      </c>
      <c r="M40" s="18" t="s">
        <v>39</v>
      </c>
      <c r="P40" s="18" t="s">
        <v>39</v>
      </c>
      <c r="R40" s="12"/>
      <c r="S40" s="108" t="s">
        <v>50</v>
      </c>
      <c r="T40" s="12"/>
      <c r="U40" s="108" t="s">
        <v>50</v>
      </c>
      <c r="V40" s="10" t="s">
        <v>50</v>
      </c>
      <c r="X40" s="18" t="s">
        <v>37</v>
      </c>
      <c r="AA40" s="18" t="s">
        <v>39</v>
      </c>
      <c r="AM40" s="10" t="s">
        <v>50</v>
      </c>
    </row>
    <row r="41" spans="4:39" x14ac:dyDescent="0.35">
      <c r="D41" s="18" t="s">
        <v>32</v>
      </c>
      <c r="G41" s="18" t="s">
        <v>32</v>
      </c>
      <c r="J41" s="18" t="s">
        <v>32</v>
      </c>
      <c r="M41" s="18" t="s">
        <v>32</v>
      </c>
      <c r="P41" s="18" t="s">
        <v>32</v>
      </c>
      <c r="R41" s="12"/>
      <c r="S41" s="108" t="s">
        <v>32</v>
      </c>
      <c r="T41" s="12"/>
      <c r="U41" s="108" t="s">
        <v>32</v>
      </c>
      <c r="V41" s="10" t="s">
        <v>32</v>
      </c>
      <c r="X41" s="18" t="s">
        <v>38</v>
      </c>
      <c r="AA41" s="18" t="s">
        <v>32</v>
      </c>
      <c r="AM41" s="10" t="s">
        <v>68</v>
      </c>
    </row>
    <row r="42" spans="4:39" x14ac:dyDescent="0.35">
      <c r="D42" s="18" t="s">
        <v>24</v>
      </c>
      <c r="G42" s="18" t="s">
        <v>24</v>
      </c>
      <c r="J42" s="18" t="s">
        <v>24</v>
      </c>
      <c r="M42" s="18" t="s">
        <v>24</v>
      </c>
      <c r="P42" s="18" t="s">
        <v>24</v>
      </c>
      <c r="R42" s="12"/>
      <c r="S42" s="108" t="s">
        <v>39</v>
      </c>
      <c r="T42" s="12"/>
      <c r="U42" s="108" t="s">
        <v>39</v>
      </c>
      <c r="V42" s="10" t="s">
        <v>39</v>
      </c>
      <c r="X42" s="18" t="s">
        <v>32</v>
      </c>
      <c r="AA42" s="18" t="s">
        <v>24</v>
      </c>
      <c r="AM42" s="10" t="s">
        <v>622</v>
      </c>
    </row>
    <row r="43" spans="4:39" x14ac:dyDescent="0.35">
      <c r="D43" s="18" t="s">
        <v>44</v>
      </c>
      <c r="G43" s="18" t="s">
        <v>44</v>
      </c>
      <c r="J43" s="18" t="s">
        <v>44</v>
      </c>
      <c r="M43" s="18" t="s">
        <v>44</v>
      </c>
      <c r="P43" s="18" t="s">
        <v>44</v>
      </c>
      <c r="R43" s="12"/>
      <c r="S43" s="108" t="s">
        <v>32</v>
      </c>
      <c r="T43" s="12"/>
      <c r="U43" s="108" t="s">
        <v>32</v>
      </c>
      <c r="V43" s="10" t="s">
        <v>32</v>
      </c>
      <c r="X43" s="18" t="s">
        <v>39</v>
      </c>
      <c r="AA43" s="18" t="s">
        <v>44</v>
      </c>
      <c r="AM43" s="10" t="s">
        <v>68</v>
      </c>
    </row>
    <row r="44" spans="4:39" x14ac:dyDescent="0.35">
      <c r="D44" s="18" t="s">
        <v>45</v>
      </c>
      <c r="G44" s="18" t="s">
        <v>45</v>
      </c>
      <c r="J44" s="18" t="s">
        <v>45</v>
      </c>
      <c r="M44" s="18" t="s">
        <v>45</v>
      </c>
      <c r="P44" s="18" t="s">
        <v>45</v>
      </c>
      <c r="R44" s="12"/>
      <c r="S44" s="108" t="s">
        <v>24</v>
      </c>
      <c r="T44" s="12"/>
      <c r="U44" s="108" t="s">
        <v>24</v>
      </c>
      <c r="V44" s="10" t="s">
        <v>24</v>
      </c>
      <c r="X44" s="18" t="s">
        <v>46</v>
      </c>
      <c r="AA44" s="18" t="s">
        <v>83</v>
      </c>
      <c r="AM44" s="10" t="s">
        <v>647</v>
      </c>
    </row>
    <row r="45" spans="4:39" x14ac:dyDescent="0.35">
      <c r="D45" s="18" t="s">
        <v>30</v>
      </c>
      <c r="G45" s="18" t="s">
        <v>30</v>
      </c>
      <c r="J45" s="18" t="s">
        <v>30</v>
      </c>
      <c r="M45" s="18" t="s">
        <v>30</v>
      </c>
      <c r="P45" s="18" t="s">
        <v>30</v>
      </c>
      <c r="R45" s="12"/>
      <c r="S45" s="108" t="s">
        <v>545</v>
      </c>
      <c r="T45" s="12"/>
      <c r="U45" s="108" t="s">
        <v>545</v>
      </c>
      <c r="V45" s="10" t="s">
        <v>545</v>
      </c>
      <c r="X45" s="18" t="s">
        <v>32</v>
      </c>
      <c r="AA45" s="18" t="s">
        <v>30</v>
      </c>
      <c r="AM45" s="10" t="s">
        <v>651</v>
      </c>
    </row>
    <row r="46" spans="4:39" x14ac:dyDescent="0.35">
      <c r="D46" s="18" t="s">
        <v>38</v>
      </c>
      <c r="G46" s="18" t="s">
        <v>38</v>
      </c>
      <c r="J46" s="18" t="s">
        <v>38</v>
      </c>
      <c r="M46" s="18" t="s">
        <v>38</v>
      </c>
      <c r="P46" s="18" t="s">
        <v>38</v>
      </c>
      <c r="R46" s="12"/>
      <c r="S46" s="108" t="s">
        <v>24</v>
      </c>
      <c r="T46" s="12"/>
      <c r="U46" s="108" t="s">
        <v>24</v>
      </c>
      <c r="V46" s="10" t="s">
        <v>24</v>
      </c>
      <c r="X46" s="18" t="s">
        <v>24</v>
      </c>
      <c r="AA46" s="18" t="s">
        <v>38</v>
      </c>
      <c r="AM46" s="10" t="s">
        <v>647</v>
      </c>
    </row>
    <row r="47" spans="4:39" x14ac:dyDescent="0.35">
      <c r="D47" s="18" t="s">
        <v>32</v>
      </c>
      <c r="G47" s="18" t="s">
        <v>32</v>
      </c>
      <c r="J47" s="18" t="s">
        <v>32</v>
      </c>
      <c r="M47" s="18" t="s">
        <v>32</v>
      </c>
      <c r="P47" s="18" t="s">
        <v>32</v>
      </c>
      <c r="R47" s="12"/>
      <c r="S47" s="108" t="s">
        <v>7</v>
      </c>
      <c r="T47" s="12"/>
      <c r="U47" s="108" t="s">
        <v>7</v>
      </c>
      <c r="V47" s="10" t="s">
        <v>7</v>
      </c>
      <c r="X47" s="18" t="s">
        <v>47</v>
      </c>
      <c r="AA47" s="18" t="s">
        <v>32</v>
      </c>
      <c r="AM47" s="10" t="s">
        <v>7</v>
      </c>
    </row>
    <row r="48" spans="4:39" x14ac:dyDescent="0.35">
      <c r="D48" s="18" t="s">
        <v>37</v>
      </c>
      <c r="G48" s="18" t="s">
        <v>37</v>
      </c>
      <c r="J48" s="18" t="s">
        <v>37</v>
      </c>
      <c r="M48" s="18" t="s">
        <v>37</v>
      </c>
      <c r="P48" s="18" t="s">
        <v>37</v>
      </c>
      <c r="R48" s="12"/>
      <c r="S48" s="108" t="s">
        <v>164</v>
      </c>
      <c r="T48" s="12"/>
      <c r="U48" s="108" t="s">
        <v>164</v>
      </c>
      <c r="V48" s="10" t="s">
        <v>164</v>
      </c>
      <c r="X48" s="18" t="s">
        <v>163</v>
      </c>
      <c r="AA48" s="18" t="s">
        <v>37</v>
      </c>
      <c r="AM48" s="10" t="s">
        <v>164</v>
      </c>
    </row>
    <row r="49" spans="4:39" x14ac:dyDescent="0.35">
      <c r="D49" s="18" t="s">
        <v>38</v>
      </c>
      <c r="G49" s="18" t="s">
        <v>38</v>
      </c>
      <c r="J49" s="18" t="s">
        <v>38</v>
      </c>
      <c r="M49" s="18" t="s">
        <v>38</v>
      </c>
      <c r="P49" s="18" t="s">
        <v>38</v>
      </c>
      <c r="R49" s="12"/>
      <c r="S49" s="108" t="s">
        <v>549</v>
      </c>
      <c r="T49" s="12"/>
      <c r="U49" s="108" t="s">
        <v>549</v>
      </c>
      <c r="V49" s="10" t="s">
        <v>549</v>
      </c>
      <c r="X49" s="18" t="s">
        <v>30</v>
      </c>
      <c r="AA49" s="18" t="s">
        <v>38</v>
      </c>
      <c r="AM49" s="10" t="s">
        <v>652</v>
      </c>
    </row>
    <row r="50" spans="4:39" x14ac:dyDescent="0.35">
      <c r="D50" s="18" t="s">
        <v>32</v>
      </c>
      <c r="G50" s="18" t="s">
        <v>32</v>
      </c>
      <c r="J50" s="18" t="s">
        <v>32</v>
      </c>
      <c r="M50" s="18" t="s">
        <v>32</v>
      </c>
      <c r="P50" s="18" t="s">
        <v>32</v>
      </c>
      <c r="R50" s="12"/>
      <c r="S50" s="108" t="s">
        <v>28</v>
      </c>
      <c r="T50" s="12"/>
      <c r="U50" s="108" t="s">
        <v>28</v>
      </c>
      <c r="V50" s="10" t="s">
        <v>28</v>
      </c>
      <c r="X50" s="18" t="s">
        <v>49</v>
      </c>
      <c r="AA50" s="18" t="s">
        <v>32</v>
      </c>
      <c r="AM50" s="10" t="s">
        <v>653</v>
      </c>
    </row>
    <row r="51" spans="4:39" x14ac:dyDescent="0.35">
      <c r="D51" s="18" t="s">
        <v>39</v>
      </c>
      <c r="G51" s="18" t="s">
        <v>39</v>
      </c>
      <c r="J51" s="18" t="s">
        <v>39</v>
      </c>
      <c r="M51" s="18" t="s">
        <v>39</v>
      </c>
      <c r="P51" s="18" t="s">
        <v>134</v>
      </c>
      <c r="R51" s="12"/>
      <c r="S51" s="108" t="s">
        <v>30</v>
      </c>
      <c r="T51" s="12"/>
      <c r="U51" s="108" t="s">
        <v>30</v>
      </c>
      <c r="V51" s="10" t="s">
        <v>30</v>
      </c>
      <c r="X51" s="18" t="s">
        <v>50</v>
      </c>
      <c r="AA51" s="18" t="s">
        <v>39</v>
      </c>
      <c r="AM51" s="10" t="s">
        <v>620</v>
      </c>
    </row>
    <row r="52" spans="4:39" x14ac:dyDescent="0.35">
      <c r="D52" s="18" t="s">
        <v>46</v>
      </c>
      <c r="G52" s="18" t="s">
        <v>46</v>
      </c>
      <c r="J52" s="18" t="s">
        <v>46</v>
      </c>
      <c r="M52" s="18" t="s">
        <v>46</v>
      </c>
      <c r="P52" s="18" t="s">
        <v>46</v>
      </c>
      <c r="R52" s="12"/>
      <c r="S52" s="108" t="s">
        <v>31</v>
      </c>
      <c r="T52" s="12"/>
      <c r="U52" s="108" t="s">
        <v>31</v>
      </c>
      <c r="V52" s="10" t="s">
        <v>31</v>
      </c>
      <c r="X52" s="18" t="s">
        <v>32</v>
      </c>
      <c r="AA52" s="18" t="s">
        <v>46</v>
      </c>
      <c r="AM52" s="10" t="s">
        <v>31</v>
      </c>
    </row>
    <row r="53" spans="4:39" x14ac:dyDescent="0.35">
      <c r="D53" s="18" t="s">
        <v>32</v>
      </c>
      <c r="G53" s="18" t="s">
        <v>32</v>
      </c>
      <c r="J53" s="18" t="s">
        <v>32</v>
      </c>
      <c r="M53" s="18" t="s">
        <v>32</v>
      </c>
      <c r="P53" s="18" t="s">
        <v>32</v>
      </c>
      <c r="R53" s="12"/>
      <c r="S53" s="108" t="s">
        <v>32</v>
      </c>
      <c r="T53" s="12"/>
      <c r="U53" s="108" t="s">
        <v>32</v>
      </c>
      <c r="V53" s="10" t="s">
        <v>32</v>
      </c>
      <c r="X53" s="18" t="s">
        <v>39</v>
      </c>
      <c r="AA53" s="18" t="s">
        <v>32</v>
      </c>
      <c r="AM53" s="10" t="s">
        <v>68</v>
      </c>
    </row>
    <row r="54" spans="4:39" x14ac:dyDescent="0.35">
      <c r="D54" s="18" t="s">
        <v>24</v>
      </c>
      <c r="G54" s="18" t="s">
        <v>24</v>
      </c>
      <c r="J54" s="18" t="s">
        <v>24</v>
      </c>
      <c r="M54" s="18" t="s">
        <v>24</v>
      </c>
      <c r="P54" s="18" t="s">
        <v>24</v>
      </c>
      <c r="R54" s="12"/>
      <c r="S54" s="108" t="s">
        <v>33</v>
      </c>
      <c r="T54" s="12"/>
      <c r="U54" s="108" t="s">
        <v>33</v>
      </c>
      <c r="V54" s="10" t="s">
        <v>33</v>
      </c>
      <c r="X54" s="18" t="s">
        <v>32</v>
      </c>
      <c r="AA54" s="18" t="s">
        <v>24</v>
      </c>
      <c r="AM54" s="10" t="s">
        <v>626</v>
      </c>
    </row>
    <row r="55" spans="4:39" x14ac:dyDescent="0.35">
      <c r="D55" s="18" t="s">
        <v>47</v>
      </c>
      <c r="G55" s="18" t="s">
        <v>47</v>
      </c>
      <c r="J55" s="18" t="s">
        <v>47</v>
      </c>
      <c r="M55" s="18" t="s">
        <v>47</v>
      </c>
      <c r="P55" s="18" t="s">
        <v>47</v>
      </c>
      <c r="R55" s="12"/>
      <c r="S55" s="108" t="s">
        <v>32</v>
      </c>
      <c r="T55" s="12"/>
      <c r="U55" s="108" t="s">
        <v>32</v>
      </c>
      <c r="V55" s="10" t="s">
        <v>32</v>
      </c>
      <c r="X55" s="18" t="s">
        <v>24</v>
      </c>
      <c r="AA55" s="18" t="s">
        <v>47</v>
      </c>
      <c r="AM55" s="10" t="s">
        <v>68</v>
      </c>
    </row>
    <row r="56" spans="4:39" x14ac:dyDescent="0.35">
      <c r="D56" s="18" t="s">
        <v>48</v>
      </c>
      <c r="G56" s="18" t="s">
        <v>48</v>
      </c>
      <c r="J56" s="18" t="s">
        <v>48</v>
      </c>
      <c r="M56" s="18" t="s">
        <v>48</v>
      </c>
      <c r="P56" s="18" t="s">
        <v>48</v>
      </c>
      <c r="R56" s="12"/>
      <c r="S56" s="108" t="s">
        <v>24</v>
      </c>
      <c r="T56" s="12"/>
      <c r="U56" s="108" t="s">
        <v>24</v>
      </c>
      <c r="V56" s="10" t="s">
        <v>24</v>
      </c>
      <c r="X56" s="18" t="s">
        <v>51</v>
      </c>
      <c r="AA56" s="18" t="s">
        <v>195</v>
      </c>
      <c r="AM56" s="10" t="s">
        <v>647</v>
      </c>
    </row>
    <row r="57" spans="4:39" x14ac:dyDescent="0.35">
      <c r="D57" s="18" t="s">
        <v>30</v>
      </c>
      <c r="G57" s="18" t="s">
        <v>30</v>
      </c>
      <c r="J57" s="18" t="s">
        <v>30</v>
      </c>
      <c r="M57" s="18" t="s">
        <v>30</v>
      </c>
      <c r="P57" s="18" t="s">
        <v>30</v>
      </c>
      <c r="R57" s="12"/>
      <c r="S57" s="108" t="s">
        <v>34</v>
      </c>
      <c r="T57" s="12"/>
      <c r="U57" s="108" t="s">
        <v>34</v>
      </c>
      <c r="V57" s="10" t="s">
        <v>34</v>
      </c>
      <c r="X57" s="18" t="s">
        <v>24</v>
      </c>
      <c r="AA57" s="18" t="s">
        <v>30</v>
      </c>
      <c r="AM57" s="10" t="s">
        <v>645</v>
      </c>
    </row>
    <row r="58" spans="4:39" x14ac:dyDescent="0.35">
      <c r="D58" s="18" t="s">
        <v>49</v>
      </c>
      <c r="G58" s="18" t="s">
        <v>49</v>
      </c>
      <c r="J58" s="18" t="s">
        <v>49</v>
      </c>
      <c r="M58" s="18" t="s">
        <v>49</v>
      </c>
      <c r="P58" s="18" t="s">
        <v>49</v>
      </c>
      <c r="R58" s="12"/>
      <c r="S58" s="108" t="s">
        <v>78</v>
      </c>
      <c r="T58" s="12"/>
      <c r="U58" s="108" t="s">
        <v>78</v>
      </c>
      <c r="V58" s="10" t="s">
        <v>78</v>
      </c>
      <c r="X58" s="18" t="s">
        <v>7</v>
      </c>
      <c r="AA58" s="18" t="s">
        <v>49</v>
      </c>
      <c r="AM58" s="10" t="s">
        <v>627</v>
      </c>
    </row>
    <row r="59" spans="4:39" x14ac:dyDescent="0.35">
      <c r="D59" s="18" t="s">
        <v>50</v>
      </c>
      <c r="G59" s="18" t="s">
        <v>50</v>
      </c>
      <c r="J59" s="18" t="s">
        <v>109</v>
      </c>
      <c r="M59" s="18" t="s">
        <v>50</v>
      </c>
      <c r="P59" s="18" t="s">
        <v>50</v>
      </c>
      <c r="R59" s="12"/>
      <c r="S59" s="108" t="s">
        <v>30</v>
      </c>
      <c r="T59" s="12"/>
      <c r="U59" s="108" t="s">
        <v>30</v>
      </c>
      <c r="V59" s="10" t="s">
        <v>30</v>
      </c>
      <c r="X59" s="18" t="s">
        <v>171</v>
      </c>
      <c r="AA59" s="18" t="s">
        <v>50</v>
      </c>
      <c r="AM59" s="10" t="s">
        <v>620</v>
      </c>
    </row>
    <row r="60" spans="4:39" x14ac:dyDescent="0.35">
      <c r="D60" s="18" t="s">
        <v>32</v>
      </c>
      <c r="G60" s="18" t="s">
        <v>32</v>
      </c>
      <c r="J60" s="18" t="s">
        <v>32</v>
      </c>
      <c r="M60" s="18" t="s">
        <v>32</v>
      </c>
      <c r="P60" s="18" t="s">
        <v>32</v>
      </c>
      <c r="R60" s="12"/>
      <c r="S60" s="108" t="s">
        <v>38</v>
      </c>
      <c r="T60" s="12"/>
      <c r="U60" s="108" t="s">
        <v>38</v>
      </c>
      <c r="V60" s="10" t="s">
        <v>38</v>
      </c>
      <c r="X60" s="18" t="s">
        <v>172</v>
      </c>
      <c r="AA60" s="18" t="s">
        <v>32</v>
      </c>
      <c r="AM60" s="10" t="s">
        <v>38</v>
      </c>
    </row>
    <row r="61" spans="4:39" x14ac:dyDescent="0.35">
      <c r="D61" s="18" t="s">
        <v>39</v>
      </c>
      <c r="G61" s="18" t="s">
        <v>39</v>
      </c>
      <c r="J61" s="18" t="s">
        <v>39</v>
      </c>
      <c r="M61" s="18" t="s">
        <v>39</v>
      </c>
      <c r="P61" s="18" t="s">
        <v>55</v>
      </c>
      <c r="R61" s="12"/>
      <c r="S61" s="108" t="s">
        <v>32</v>
      </c>
      <c r="T61" s="12"/>
      <c r="U61" s="108" t="s">
        <v>32</v>
      </c>
      <c r="V61" s="10" t="s">
        <v>32</v>
      </c>
      <c r="X61" s="18" t="s">
        <v>28</v>
      </c>
      <c r="AA61" s="18" t="s">
        <v>39</v>
      </c>
      <c r="AM61" s="10" t="s">
        <v>68</v>
      </c>
    </row>
    <row r="62" spans="4:39" x14ac:dyDescent="0.35">
      <c r="D62" s="18" t="s">
        <v>32</v>
      </c>
      <c r="G62" s="18" t="s">
        <v>32</v>
      </c>
      <c r="J62" s="18" t="s">
        <v>32</v>
      </c>
      <c r="M62" s="18" t="s">
        <v>32</v>
      </c>
      <c r="P62" s="18" t="s">
        <v>32</v>
      </c>
      <c r="R62" s="12"/>
      <c r="S62" s="108" t="s">
        <v>37</v>
      </c>
      <c r="T62" s="12"/>
      <c r="U62" s="108" t="s">
        <v>37</v>
      </c>
      <c r="V62" s="10" t="s">
        <v>37</v>
      </c>
      <c r="X62" s="18" t="s">
        <v>29</v>
      </c>
      <c r="AA62" s="18" t="s">
        <v>32</v>
      </c>
      <c r="AM62" s="10" t="s">
        <v>621</v>
      </c>
    </row>
    <row r="63" spans="4:39" x14ac:dyDescent="0.35">
      <c r="D63" s="18" t="s">
        <v>24</v>
      </c>
      <c r="G63" s="18" t="s">
        <v>24</v>
      </c>
      <c r="J63" s="18" t="s">
        <v>24</v>
      </c>
      <c r="M63" s="18" t="s">
        <v>24</v>
      </c>
      <c r="P63" s="18" t="s">
        <v>24</v>
      </c>
      <c r="R63" s="12"/>
      <c r="S63" s="108" t="s">
        <v>38</v>
      </c>
      <c r="T63" s="12"/>
      <c r="U63" s="108" t="s">
        <v>38</v>
      </c>
      <c r="V63" s="10" t="s">
        <v>38</v>
      </c>
      <c r="X63" s="18" t="s">
        <v>30</v>
      </c>
      <c r="AA63" s="18" t="s">
        <v>24</v>
      </c>
      <c r="AM63" s="10" t="s">
        <v>38</v>
      </c>
    </row>
    <row r="64" spans="4:39" x14ac:dyDescent="0.35">
      <c r="D64" s="18" t="s">
        <v>51</v>
      </c>
      <c r="G64" s="18" t="s">
        <v>51</v>
      </c>
      <c r="J64" s="18" t="s">
        <v>51</v>
      </c>
      <c r="M64" s="18" t="s">
        <v>51</v>
      </c>
      <c r="P64" s="18" t="s">
        <v>51</v>
      </c>
      <c r="R64" s="12"/>
      <c r="S64" s="108" t="s">
        <v>32</v>
      </c>
      <c r="T64" s="12"/>
      <c r="U64" s="108" t="s">
        <v>32</v>
      </c>
      <c r="V64" s="10" t="s">
        <v>32</v>
      </c>
      <c r="X64" s="18" t="s">
        <v>31</v>
      </c>
      <c r="AA64" s="18" t="s">
        <v>51</v>
      </c>
      <c r="AM64" s="10" t="s">
        <v>68</v>
      </c>
    </row>
    <row r="65" spans="3:39" x14ac:dyDescent="0.35">
      <c r="D65" s="18" t="s">
        <v>24</v>
      </c>
      <c r="G65" s="18" t="s">
        <v>24</v>
      </c>
      <c r="J65" s="18" t="s">
        <v>24</v>
      </c>
      <c r="M65" s="18" t="s">
        <v>24</v>
      </c>
      <c r="P65" s="18" t="s">
        <v>24</v>
      </c>
      <c r="R65" s="12"/>
      <c r="S65" s="108" t="s">
        <v>39</v>
      </c>
      <c r="T65" s="12"/>
      <c r="U65" s="108" t="s">
        <v>39</v>
      </c>
      <c r="V65" s="10" t="s">
        <v>39</v>
      </c>
      <c r="X65" s="18" t="s">
        <v>32</v>
      </c>
      <c r="AA65" s="18" t="s">
        <v>24</v>
      </c>
      <c r="AM65" s="10" t="s">
        <v>622</v>
      </c>
    </row>
    <row r="66" spans="3:39" x14ac:dyDescent="0.35">
      <c r="D66" s="18" t="s">
        <v>7</v>
      </c>
      <c r="G66" s="18" t="s">
        <v>7</v>
      </c>
      <c r="J66" s="18" t="s">
        <v>7</v>
      </c>
      <c r="M66" s="18" t="s">
        <v>7</v>
      </c>
      <c r="P66" s="18" t="s">
        <v>7</v>
      </c>
      <c r="R66" s="12"/>
      <c r="S66" s="108" t="s">
        <v>46</v>
      </c>
      <c r="T66" s="12"/>
      <c r="U66" s="108" t="s">
        <v>46</v>
      </c>
      <c r="V66" s="10" t="s">
        <v>46</v>
      </c>
      <c r="X66" s="18" t="s">
        <v>33</v>
      </c>
      <c r="AA66" s="18" t="s">
        <v>7</v>
      </c>
      <c r="AM66" s="10" t="s">
        <v>628</v>
      </c>
    </row>
    <row r="67" spans="3:39" x14ac:dyDescent="0.35">
      <c r="D67" s="18" t="s">
        <v>52</v>
      </c>
      <c r="G67" s="18" t="s">
        <v>92</v>
      </c>
      <c r="J67" s="18" t="s">
        <v>110</v>
      </c>
      <c r="M67" s="18" t="s">
        <v>125</v>
      </c>
      <c r="P67" s="18" t="s">
        <v>135</v>
      </c>
      <c r="R67" s="12"/>
      <c r="S67" s="108" t="s">
        <v>32</v>
      </c>
      <c r="T67" s="12"/>
      <c r="U67" s="108" t="s">
        <v>32</v>
      </c>
      <c r="V67" s="10" t="s">
        <v>32</v>
      </c>
      <c r="X67" s="18" t="s">
        <v>32</v>
      </c>
      <c r="AA67" s="18" t="s">
        <v>190</v>
      </c>
      <c r="AM67" s="10" t="s">
        <v>68</v>
      </c>
    </row>
    <row r="68" spans="3:39" x14ac:dyDescent="0.35">
      <c r="D68" s="18" t="s">
        <v>53</v>
      </c>
      <c r="G68" s="18" t="s">
        <v>53</v>
      </c>
      <c r="J68" s="18" t="s">
        <v>111</v>
      </c>
      <c r="M68" s="18" t="s">
        <v>126</v>
      </c>
      <c r="P68" s="18" t="s">
        <v>136</v>
      </c>
      <c r="R68" s="12"/>
      <c r="S68" s="108" t="s">
        <v>24</v>
      </c>
      <c r="T68" s="12"/>
      <c r="U68" s="108" t="s">
        <v>24</v>
      </c>
      <c r="V68" s="10" t="s">
        <v>24</v>
      </c>
      <c r="X68" s="18" t="s">
        <v>24</v>
      </c>
      <c r="AA68" s="18" t="s">
        <v>191</v>
      </c>
      <c r="AM68" s="10" t="s">
        <v>647</v>
      </c>
    </row>
    <row r="69" spans="3:39" x14ac:dyDescent="0.35">
      <c r="D69" s="18" t="s">
        <v>54</v>
      </c>
      <c r="G69" s="18" t="s">
        <v>54</v>
      </c>
      <c r="J69" s="18" t="s">
        <v>54</v>
      </c>
      <c r="M69" s="18" t="s">
        <v>54</v>
      </c>
      <c r="P69" s="18" t="s">
        <v>54</v>
      </c>
      <c r="R69" s="12"/>
      <c r="S69" s="108" t="s">
        <v>40</v>
      </c>
      <c r="T69" s="12"/>
      <c r="U69" s="108" t="s">
        <v>40</v>
      </c>
      <c r="V69" s="10" t="s">
        <v>40</v>
      </c>
      <c r="X69" s="18" t="s">
        <v>34</v>
      </c>
      <c r="AA69" s="18" t="s">
        <v>54</v>
      </c>
      <c r="AM69" s="10" t="s">
        <v>654</v>
      </c>
    </row>
    <row r="70" spans="3:39" x14ac:dyDescent="0.35">
      <c r="D70" s="18" t="s">
        <v>24</v>
      </c>
      <c r="G70" s="18" t="s">
        <v>24</v>
      </c>
      <c r="J70" s="18" t="s">
        <v>24</v>
      </c>
      <c r="M70" s="18" t="s">
        <v>24</v>
      </c>
      <c r="P70" s="18" t="s">
        <v>24</v>
      </c>
      <c r="R70" s="12"/>
      <c r="S70" s="108" t="s">
        <v>79</v>
      </c>
      <c r="T70" s="12"/>
      <c r="U70" s="108" t="s">
        <v>79</v>
      </c>
      <c r="V70" s="10" t="s">
        <v>79</v>
      </c>
      <c r="X70" s="18" t="s">
        <v>78</v>
      </c>
      <c r="AA70" s="18" t="s">
        <v>24</v>
      </c>
      <c r="AM70" s="10" t="s">
        <v>629</v>
      </c>
    </row>
    <row r="71" spans="3:39" ht="11.7" thickBot="1" x14ac:dyDescent="0.4">
      <c r="D71" s="21" t="s">
        <v>7</v>
      </c>
      <c r="G71" s="21" t="s">
        <v>7</v>
      </c>
      <c r="J71" s="21" t="s">
        <v>7</v>
      </c>
      <c r="M71" s="21" t="s">
        <v>7</v>
      </c>
      <c r="P71" s="18" t="s">
        <v>7</v>
      </c>
      <c r="R71" s="12"/>
      <c r="S71" s="108" t="s">
        <v>30</v>
      </c>
      <c r="T71" s="12"/>
      <c r="U71" s="108" t="s">
        <v>30</v>
      </c>
      <c r="V71" s="10" t="s">
        <v>30</v>
      </c>
      <c r="X71" s="18" t="s">
        <v>30</v>
      </c>
      <c r="AA71" s="22" t="s">
        <v>7</v>
      </c>
      <c r="AM71" s="10" t="s">
        <v>620</v>
      </c>
    </row>
    <row r="72" spans="3:39" x14ac:dyDescent="0.35">
      <c r="C72" s="23" t="s">
        <v>122</v>
      </c>
      <c r="D72" s="24" t="s">
        <v>58</v>
      </c>
      <c r="F72" s="23" t="s">
        <v>130</v>
      </c>
      <c r="G72" s="24" t="s">
        <v>93</v>
      </c>
      <c r="I72" s="23" t="s">
        <v>123</v>
      </c>
      <c r="J72" s="24" t="s">
        <v>112</v>
      </c>
      <c r="L72" s="23" t="s">
        <v>129</v>
      </c>
      <c r="M72" s="24" t="s">
        <v>112</v>
      </c>
      <c r="O72" s="23" t="s">
        <v>168</v>
      </c>
      <c r="P72" s="25" t="s">
        <v>160</v>
      </c>
      <c r="R72" s="12"/>
      <c r="S72" s="108" t="s">
        <v>49</v>
      </c>
      <c r="T72" s="12"/>
      <c r="U72" s="108" t="s">
        <v>49</v>
      </c>
      <c r="V72" s="10" t="s">
        <v>49</v>
      </c>
      <c r="X72" s="18" t="s">
        <v>38</v>
      </c>
      <c r="Z72" s="23" t="s">
        <v>199</v>
      </c>
      <c r="AA72" s="24" t="s">
        <v>192</v>
      </c>
      <c r="AM72" s="10" t="s">
        <v>49</v>
      </c>
    </row>
    <row r="73" spans="3:39" x14ac:dyDescent="0.35">
      <c r="C73" s="7" t="s">
        <v>159</v>
      </c>
      <c r="D73" s="26" t="s">
        <v>59</v>
      </c>
      <c r="F73" s="7" t="s">
        <v>159</v>
      </c>
      <c r="G73" s="26" t="s">
        <v>59</v>
      </c>
      <c r="I73" s="7" t="s">
        <v>156</v>
      </c>
      <c r="J73" s="26" t="s">
        <v>113</v>
      </c>
      <c r="L73" s="7" t="s">
        <v>156</v>
      </c>
      <c r="M73" s="26" t="s">
        <v>113</v>
      </c>
      <c r="O73" s="7" t="s">
        <v>166</v>
      </c>
      <c r="P73" s="26" t="s">
        <v>161</v>
      </c>
      <c r="R73" s="12"/>
      <c r="S73" s="108" t="s">
        <v>50</v>
      </c>
      <c r="T73" s="12"/>
      <c r="U73" s="108" t="s">
        <v>50</v>
      </c>
      <c r="V73" s="10" t="s">
        <v>50</v>
      </c>
      <c r="X73" s="18" t="s">
        <v>32</v>
      </c>
      <c r="Z73" s="23" t="s">
        <v>335</v>
      </c>
      <c r="AA73" s="26" t="s">
        <v>193</v>
      </c>
      <c r="AM73" s="10" t="s">
        <v>50</v>
      </c>
    </row>
    <row r="74" spans="3:39" x14ac:dyDescent="0.35">
      <c r="C74" s="19" t="s">
        <v>264</v>
      </c>
      <c r="D74" s="26" t="s">
        <v>60</v>
      </c>
      <c r="F74" s="19" t="s">
        <v>264</v>
      </c>
      <c r="G74" s="26" t="s">
        <v>60</v>
      </c>
      <c r="I74" s="10" t="s">
        <v>221</v>
      </c>
      <c r="J74" s="26" t="s">
        <v>34</v>
      </c>
      <c r="L74" s="10" t="s">
        <v>221</v>
      </c>
      <c r="M74" s="26" t="s">
        <v>34</v>
      </c>
      <c r="O74" s="10" t="s">
        <v>288</v>
      </c>
      <c r="P74" s="26" t="s">
        <v>34</v>
      </c>
      <c r="R74" s="12"/>
      <c r="S74" s="108" t="s">
        <v>32</v>
      </c>
      <c r="T74" s="12"/>
      <c r="U74" s="108" t="s">
        <v>32</v>
      </c>
      <c r="V74" s="10" t="s">
        <v>32</v>
      </c>
      <c r="X74" s="18" t="s">
        <v>37</v>
      </c>
      <c r="Z74" s="7" t="s">
        <v>200</v>
      </c>
      <c r="AA74" s="26" t="s">
        <v>28</v>
      </c>
      <c r="AM74" s="10" t="s">
        <v>68</v>
      </c>
    </row>
    <row r="75" spans="3:39" x14ac:dyDescent="0.35">
      <c r="C75" s="19" t="s">
        <v>257</v>
      </c>
      <c r="D75" s="26" t="s">
        <v>29</v>
      </c>
      <c r="F75" s="19" t="s">
        <v>257</v>
      </c>
      <c r="G75" s="26" t="s">
        <v>29</v>
      </c>
      <c r="I75" s="10" t="s">
        <v>208</v>
      </c>
      <c r="J75" s="26" t="s">
        <v>35</v>
      </c>
      <c r="L75" s="10" t="s">
        <v>208</v>
      </c>
      <c r="M75" s="26" t="s">
        <v>35</v>
      </c>
      <c r="O75" s="10" t="s">
        <v>289</v>
      </c>
      <c r="P75" s="26" t="s">
        <v>73</v>
      </c>
      <c r="R75" s="12"/>
      <c r="S75" s="108" t="s">
        <v>39</v>
      </c>
      <c r="T75" s="12"/>
      <c r="U75" s="108" t="s">
        <v>39</v>
      </c>
      <c r="V75" s="10" t="s">
        <v>39</v>
      </c>
      <c r="X75" s="18" t="s">
        <v>38</v>
      </c>
      <c r="Z75" s="10" t="s">
        <v>330</v>
      </c>
      <c r="AA75" s="26" t="s">
        <v>29</v>
      </c>
      <c r="AM75" s="10" t="s">
        <v>622</v>
      </c>
    </row>
    <row r="76" spans="3:39" x14ac:dyDescent="0.35">
      <c r="C76" s="19" t="s">
        <v>208</v>
      </c>
      <c r="D76" s="26" t="s">
        <v>30</v>
      </c>
      <c r="F76" s="19" t="s">
        <v>208</v>
      </c>
      <c r="G76" s="26" t="s">
        <v>30</v>
      </c>
      <c r="I76" s="10" t="s">
        <v>209</v>
      </c>
      <c r="J76" s="26" t="s">
        <v>30</v>
      </c>
      <c r="L76" s="10" t="s">
        <v>209</v>
      </c>
      <c r="M76" s="26" t="s">
        <v>30</v>
      </c>
      <c r="O76" s="10" t="s">
        <v>208</v>
      </c>
      <c r="P76" s="26" t="s">
        <v>30</v>
      </c>
      <c r="R76" s="12"/>
      <c r="S76" s="108" t="s">
        <v>32</v>
      </c>
      <c r="T76" s="12"/>
      <c r="U76" s="108" t="s">
        <v>32</v>
      </c>
      <c r="V76" s="10" t="s">
        <v>32</v>
      </c>
      <c r="X76" s="18" t="s">
        <v>32</v>
      </c>
      <c r="Z76" s="10" t="s">
        <v>331</v>
      </c>
      <c r="AA76" s="26" t="s">
        <v>30</v>
      </c>
      <c r="AM76" s="10" t="s">
        <v>68</v>
      </c>
    </row>
    <row r="77" spans="3:39" x14ac:dyDescent="0.35">
      <c r="C77" s="19" t="s">
        <v>209</v>
      </c>
      <c r="D77" s="26" t="s">
        <v>31</v>
      </c>
      <c r="F77" s="19" t="s">
        <v>209</v>
      </c>
      <c r="G77" s="26" t="s">
        <v>31</v>
      </c>
      <c r="I77" s="10" t="s">
        <v>222</v>
      </c>
      <c r="J77" s="26" t="s">
        <v>36</v>
      </c>
      <c r="L77" s="10" t="s">
        <v>222</v>
      </c>
      <c r="M77" s="26" t="s">
        <v>36</v>
      </c>
      <c r="O77" s="10" t="s">
        <v>242</v>
      </c>
      <c r="P77" s="26" t="s">
        <v>38</v>
      </c>
      <c r="R77" s="12"/>
      <c r="S77" s="108" t="s">
        <v>24</v>
      </c>
      <c r="T77" s="12"/>
      <c r="U77" s="108" t="s">
        <v>24</v>
      </c>
      <c r="V77" s="10" t="s">
        <v>24</v>
      </c>
      <c r="X77" s="18" t="s">
        <v>39</v>
      </c>
      <c r="Z77" s="10" t="s">
        <v>208</v>
      </c>
      <c r="AA77" s="26" t="s">
        <v>31</v>
      </c>
      <c r="AM77" s="10" t="s">
        <v>647</v>
      </c>
    </row>
    <row r="78" spans="3:39" x14ac:dyDescent="0.35">
      <c r="C78" s="19" t="s">
        <v>265</v>
      </c>
      <c r="D78" s="26" t="s">
        <v>32</v>
      </c>
      <c r="F78" s="19" t="s">
        <v>265</v>
      </c>
      <c r="G78" s="26" t="s">
        <v>32</v>
      </c>
      <c r="I78" s="10" t="s">
        <v>223</v>
      </c>
      <c r="J78" s="26" t="s">
        <v>32</v>
      </c>
      <c r="L78" s="10" t="s">
        <v>223</v>
      </c>
      <c r="M78" s="26" t="s">
        <v>32</v>
      </c>
      <c r="O78" s="10" t="s">
        <v>290</v>
      </c>
      <c r="P78" s="26" t="s">
        <v>36</v>
      </c>
      <c r="R78" s="12"/>
      <c r="S78" s="108" t="s">
        <v>51</v>
      </c>
      <c r="T78" s="12"/>
      <c r="U78" s="108" t="s">
        <v>51</v>
      </c>
      <c r="V78" s="10" t="s">
        <v>51</v>
      </c>
      <c r="X78" s="18" t="s">
        <v>46</v>
      </c>
      <c r="Z78" s="10" t="s">
        <v>209</v>
      </c>
      <c r="AA78" s="26" t="s">
        <v>32</v>
      </c>
      <c r="AM78" s="10" t="s">
        <v>651</v>
      </c>
    </row>
    <row r="79" spans="3:39" x14ac:dyDescent="0.35">
      <c r="C79" s="19" t="s">
        <v>269</v>
      </c>
      <c r="D79" s="26" t="s">
        <v>33</v>
      </c>
      <c r="F79" s="19" t="s">
        <v>266</v>
      </c>
      <c r="G79" s="26" t="s">
        <v>33</v>
      </c>
      <c r="I79" s="10" t="s">
        <v>224</v>
      </c>
      <c r="J79" s="26" t="s">
        <v>37</v>
      </c>
      <c r="L79" s="10" t="s">
        <v>224</v>
      </c>
      <c r="M79" s="26" t="s">
        <v>37</v>
      </c>
      <c r="O79" s="10" t="s">
        <v>291</v>
      </c>
      <c r="P79" s="26" t="s">
        <v>32</v>
      </c>
      <c r="R79" s="12"/>
      <c r="S79" s="108" t="s">
        <v>24</v>
      </c>
      <c r="T79" s="12"/>
      <c r="U79" s="108" t="s">
        <v>24</v>
      </c>
      <c r="V79" s="10" t="s">
        <v>24</v>
      </c>
      <c r="X79" s="18" t="s">
        <v>32</v>
      </c>
      <c r="Z79" s="10" t="s">
        <v>332</v>
      </c>
      <c r="AA79" s="26" t="s">
        <v>33</v>
      </c>
      <c r="AM79" s="10" t="s">
        <v>647</v>
      </c>
    </row>
    <row r="80" spans="3:39" ht="11.7" thickBot="1" x14ac:dyDescent="0.4">
      <c r="C80" s="19" t="s">
        <v>270</v>
      </c>
      <c r="D80" s="26" t="s">
        <v>32</v>
      </c>
      <c r="F80" s="19" t="s">
        <v>267</v>
      </c>
      <c r="G80" s="26" t="s">
        <v>32</v>
      </c>
      <c r="I80" s="10" t="s">
        <v>225</v>
      </c>
      <c r="J80" s="26" t="s">
        <v>38</v>
      </c>
      <c r="L80" s="10" t="s">
        <v>225</v>
      </c>
      <c r="M80" s="26" t="s">
        <v>38</v>
      </c>
      <c r="O80" s="10" t="s">
        <v>292</v>
      </c>
      <c r="P80" s="26" t="s">
        <v>33</v>
      </c>
      <c r="R80" s="12"/>
      <c r="S80" s="108" t="s">
        <v>7</v>
      </c>
      <c r="T80" s="12"/>
      <c r="U80" s="108" t="s">
        <v>7</v>
      </c>
      <c r="V80" s="10" t="s">
        <v>7</v>
      </c>
      <c r="X80" s="18" t="s">
        <v>24</v>
      </c>
      <c r="Z80" s="10" t="s">
        <v>333</v>
      </c>
      <c r="AA80" s="26" t="s">
        <v>32</v>
      </c>
      <c r="AM80" s="10" t="s">
        <v>7</v>
      </c>
    </row>
    <row r="81" spans="3:39" x14ac:dyDescent="0.35">
      <c r="C81" s="19" t="s">
        <v>212</v>
      </c>
      <c r="D81" s="26" t="s">
        <v>24</v>
      </c>
      <c r="F81" s="19" t="s">
        <v>212</v>
      </c>
      <c r="G81" s="26" t="s">
        <v>24</v>
      </c>
      <c r="I81" s="10" t="s">
        <v>212</v>
      </c>
      <c r="J81" s="26" t="s">
        <v>32</v>
      </c>
      <c r="L81" s="10" t="s">
        <v>212</v>
      </c>
      <c r="M81" s="26" t="s">
        <v>32</v>
      </c>
      <c r="O81" s="10" t="s">
        <v>293</v>
      </c>
      <c r="P81" s="26" t="s">
        <v>32</v>
      </c>
      <c r="R81" s="23" t="s">
        <v>450</v>
      </c>
      <c r="S81" s="109" t="s">
        <v>527</v>
      </c>
      <c r="T81" s="23" t="s">
        <v>450</v>
      </c>
      <c r="U81" s="109" t="s">
        <v>527</v>
      </c>
      <c r="V81" s="10" t="s">
        <v>527</v>
      </c>
      <c r="X81" s="18" t="s">
        <v>40</v>
      </c>
      <c r="Z81" s="10" t="s">
        <v>212</v>
      </c>
      <c r="AA81" s="26" t="s">
        <v>24</v>
      </c>
      <c r="AM81" s="10" t="s">
        <v>527</v>
      </c>
    </row>
    <row r="82" spans="3:39" x14ac:dyDescent="0.35">
      <c r="C82" s="19" t="s">
        <v>213</v>
      </c>
      <c r="D82" s="26" t="s">
        <v>34</v>
      </c>
      <c r="F82" s="19" t="s">
        <v>213</v>
      </c>
      <c r="G82" s="26" t="s">
        <v>34</v>
      </c>
      <c r="I82" s="10" t="s">
        <v>226</v>
      </c>
      <c r="J82" s="26" t="s">
        <v>39</v>
      </c>
      <c r="L82" s="10" t="s">
        <v>226</v>
      </c>
      <c r="M82" s="26" t="s">
        <v>39</v>
      </c>
      <c r="O82" s="10" t="s">
        <v>212</v>
      </c>
      <c r="P82" s="26" t="s">
        <v>24</v>
      </c>
      <c r="R82" s="7" t="s">
        <v>444</v>
      </c>
      <c r="S82" s="110" t="s">
        <v>546</v>
      </c>
      <c r="T82" s="7" t="s">
        <v>444</v>
      </c>
      <c r="U82" s="110" t="s">
        <v>546</v>
      </c>
      <c r="V82" s="10" t="s">
        <v>546</v>
      </c>
      <c r="X82" s="18" t="s">
        <v>79</v>
      </c>
      <c r="Z82" s="10" t="s">
        <v>226</v>
      </c>
      <c r="AA82" s="26" t="s">
        <v>34</v>
      </c>
      <c r="AM82" s="10" t="s">
        <v>655</v>
      </c>
    </row>
    <row r="83" spans="3:39" x14ac:dyDescent="0.35">
      <c r="C83" s="19" t="s">
        <v>261</v>
      </c>
      <c r="D83" s="26" t="s">
        <v>35</v>
      </c>
      <c r="F83" s="19" t="s">
        <v>261</v>
      </c>
      <c r="G83" s="26" t="s">
        <v>35</v>
      </c>
      <c r="I83" s="10" t="s">
        <v>227</v>
      </c>
      <c r="J83" s="26" t="s">
        <v>46</v>
      </c>
      <c r="L83" s="10" t="s">
        <v>227</v>
      </c>
      <c r="M83" s="26" t="s">
        <v>46</v>
      </c>
      <c r="O83" s="10" t="s">
        <v>226</v>
      </c>
      <c r="P83" s="26" t="s">
        <v>54</v>
      </c>
      <c r="R83" s="119" t="s">
        <v>630</v>
      </c>
      <c r="S83" s="110" t="s">
        <v>34</v>
      </c>
      <c r="T83" s="119" t="s">
        <v>630</v>
      </c>
      <c r="U83" s="110" t="s">
        <v>34</v>
      </c>
      <c r="V83" s="10" t="s">
        <v>34</v>
      </c>
      <c r="X83" s="18" t="s">
        <v>30</v>
      </c>
      <c r="Z83" s="20" t="s">
        <v>334</v>
      </c>
      <c r="AA83" s="26" t="s">
        <v>35</v>
      </c>
      <c r="AM83" s="10" t="s">
        <v>645</v>
      </c>
    </row>
    <row r="84" spans="3:39" x14ac:dyDescent="0.35">
      <c r="C84" s="19" t="s">
        <v>268</v>
      </c>
      <c r="D84" s="26" t="s">
        <v>30</v>
      </c>
      <c r="F84" s="19" t="s">
        <v>268</v>
      </c>
      <c r="G84" s="26" t="s">
        <v>30</v>
      </c>
      <c r="I84" s="10" t="s">
        <v>228</v>
      </c>
      <c r="J84" s="26" t="s">
        <v>32</v>
      </c>
      <c r="L84" s="10" t="s">
        <v>228</v>
      </c>
      <c r="M84" s="26" t="s">
        <v>32</v>
      </c>
      <c r="O84" s="10" t="s">
        <v>294</v>
      </c>
      <c r="P84" s="26" t="s">
        <v>24</v>
      </c>
      <c r="R84" s="119" t="s">
        <v>528</v>
      </c>
      <c r="S84" s="110" t="s">
        <v>35</v>
      </c>
      <c r="T84" s="119" t="s">
        <v>528</v>
      </c>
      <c r="U84" s="110" t="s">
        <v>35</v>
      </c>
      <c r="V84" s="10" t="s">
        <v>35</v>
      </c>
      <c r="X84" s="18" t="s">
        <v>49</v>
      </c>
      <c r="Z84" s="10" t="s">
        <v>328</v>
      </c>
      <c r="AA84" s="26" t="s">
        <v>30</v>
      </c>
      <c r="AM84" s="10" t="s">
        <v>619</v>
      </c>
    </row>
    <row r="85" spans="3:39" ht="11.7" thickBot="1" x14ac:dyDescent="0.4">
      <c r="C85" s="19" t="s">
        <v>216</v>
      </c>
      <c r="D85" s="26" t="s">
        <v>36</v>
      </c>
      <c r="F85" s="19" t="s">
        <v>216</v>
      </c>
      <c r="G85" s="26" t="s">
        <v>36</v>
      </c>
      <c r="I85" s="10" t="s">
        <v>229</v>
      </c>
      <c r="J85" s="26" t="s">
        <v>24</v>
      </c>
      <c r="L85" s="10" t="s">
        <v>229</v>
      </c>
      <c r="M85" s="26" t="s">
        <v>24</v>
      </c>
      <c r="O85" s="10" t="s">
        <v>295</v>
      </c>
      <c r="P85" s="27" t="s">
        <v>7</v>
      </c>
      <c r="R85" s="119" t="s">
        <v>519</v>
      </c>
      <c r="S85" s="110" t="s">
        <v>30</v>
      </c>
      <c r="T85" s="119" t="s">
        <v>519</v>
      </c>
      <c r="U85" s="110" t="s">
        <v>30</v>
      </c>
      <c r="V85" s="10" t="s">
        <v>30</v>
      </c>
      <c r="X85" s="18" t="s">
        <v>50</v>
      </c>
      <c r="Z85" s="10" t="s">
        <v>329</v>
      </c>
      <c r="AA85" s="26" t="s">
        <v>36</v>
      </c>
      <c r="AM85" s="10" t="s">
        <v>620</v>
      </c>
    </row>
    <row r="86" spans="3:39" x14ac:dyDescent="0.35">
      <c r="C86" s="19" t="s">
        <v>220</v>
      </c>
      <c r="D86" s="26" t="s">
        <v>32</v>
      </c>
      <c r="F86" s="19" t="s">
        <v>220</v>
      </c>
      <c r="G86" s="26" t="s">
        <v>32</v>
      </c>
      <c r="I86" s="10" t="s">
        <v>216</v>
      </c>
      <c r="J86" s="26" t="s">
        <v>40</v>
      </c>
      <c r="L86" s="10" t="s">
        <v>216</v>
      </c>
      <c r="M86" s="26" t="s">
        <v>40</v>
      </c>
      <c r="O86" s="10" t="s">
        <v>296</v>
      </c>
      <c r="P86" s="12"/>
      <c r="R86" s="119" t="s">
        <v>520</v>
      </c>
      <c r="S86" s="110" t="s">
        <v>36</v>
      </c>
      <c r="T86" s="119" t="s">
        <v>520</v>
      </c>
      <c r="U86" s="110" t="s">
        <v>36</v>
      </c>
      <c r="V86" s="10" t="s">
        <v>36</v>
      </c>
      <c r="X86" s="18" t="s">
        <v>32</v>
      </c>
      <c r="Z86" s="10" t="s">
        <v>338</v>
      </c>
      <c r="AA86" s="26" t="s">
        <v>32</v>
      </c>
      <c r="AM86" s="10" t="s">
        <v>36</v>
      </c>
    </row>
    <row r="87" spans="3:39" x14ac:dyDescent="0.35">
      <c r="C87" s="19" t="s">
        <v>7</v>
      </c>
      <c r="D87" s="26" t="s">
        <v>37</v>
      </c>
      <c r="F87" s="19" t="s">
        <v>7</v>
      </c>
      <c r="G87" s="26" t="s">
        <v>37</v>
      </c>
      <c r="I87" s="10" t="s">
        <v>220</v>
      </c>
      <c r="J87" s="26" t="s">
        <v>41</v>
      </c>
      <c r="L87" s="10" t="s">
        <v>220</v>
      </c>
      <c r="M87" s="26" t="s">
        <v>41</v>
      </c>
      <c r="O87" s="10" t="s">
        <v>297</v>
      </c>
      <c r="P87" s="12"/>
      <c r="R87" s="119" t="s">
        <v>656</v>
      </c>
      <c r="S87" s="110" t="s">
        <v>32</v>
      </c>
      <c r="T87" s="119" t="s">
        <v>656</v>
      </c>
      <c r="U87" s="110" t="s">
        <v>32</v>
      </c>
      <c r="V87" s="10" t="s">
        <v>32</v>
      </c>
      <c r="X87" s="18" t="s">
        <v>39</v>
      </c>
      <c r="Z87" s="10" t="s">
        <v>24</v>
      </c>
      <c r="AA87" s="26" t="s">
        <v>37</v>
      </c>
      <c r="AM87" s="10" t="s">
        <v>68</v>
      </c>
    </row>
    <row r="88" spans="3:39" x14ac:dyDescent="0.35">
      <c r="D88" s="26" t="s">
        <v>38</v>
      </c>
      <c r="G88" s="26" t="s">
        <v>38</v>
      </c>
      <c r="I88" s="10" t="s">
        <v>228</v>
      </c>
      <c r="J88" s="26" t="s">
        <v>30</v>
      </c>
      <c r="L88" s="10" t="s">
        <v>228</v>
      </c>
      <c r="M88" s="26" t="s">
        <v>30</v>
      </c>
      <c r="O88" s="10" t="s">
        <v>298</v>
      </c>
      <c r="P88" s="12"/>
      <c r="R88" s="119" t="s">
        <v>529</v>
      </c>
      <c r="S88" s="110" t="s">
        <v>37</v>
      </c>
      <c r="T88" s="119" t="s">
        <v>529</v>
      </c>
      <c r="U88" s="110" t="s">
        <v>37</v>
      </c>
      <c r="V88" s="10" t="s">
        <v>37</v>
      </c>
      <c r="X88" s="18" t="s">
        <v>32</v>
      </c>
      <c r="Z88" s="10" t="s">
        <v>7</v>
      </c>
      <c r="AA88" s="26" t="s">
        <v>38</v>
      </c>
      <c r="AM88" s="10" t="s">
        <v>621</v>
      </c>
    </row>
    <row r="89" spans="3:39" x14ac:dyDescent="0.35">
      <c r="D89" s="26" t="s">
        <v>32</v>
      </c>
      <c r="G89" s="26" t="s">
        <v>32</v>
      </c>
      <c r="I89" s="10" t="s">
        <v>229</v>
      </c>
      <c r="J89" s="26" t="s">
        <v>42</v>
      </c>
      <c r="L89" s="10" t="s">
        <v>229</v>
      </c>
      <c r="M89" s="26" t="s">
        <v>42</v>
      </c>
      <c r="O89" s="10" t="s">
        <v>24</v>
      </c>
      <c r="P89" s="12"/>
      <c r="R89" s="119" t="s">
        <v>530</v>
      </c>
      <c r="S89" s="110" t="s">
        <v>38</v>
      </c>
      <c r="T89" s="119" t="s">
        <v>530</v>
      </c>
      <c r="U89" s="110" t="s">
        <v>38</v>
      </c>
      <c r="V89" s="10" t="s">
        <v>38</v>
      </c>
      <c r="X89" s="18" t="s">
        <v>24</v>
      </c>
      <c r="AA89" s="26" t="s">
        <v>32</v>
      </c>
      <c r="AM89" s="10" t="s">
        <v>38</v>
      </c>
    </row>
    <row r="90" spans="3:39" x14ac:dyDescent="0.35">
      <c r="D90" s="26" t="s">
        <v>39</v>
      </c>
      <c r="G90" s="26" t="s">
        <v>39</v>
      </c>
      <c r="I90" s="10" t="s">
        <v>216</v>
      </c>
      <c r="J90" s="26" t="s">
        <v>32</v>
      </c>
      <c r="L90" s="10" t="s">
        <v>216</v>
      </c>
      <c r="M90" s="26" t="s">
        <v>32</v>
      </c>
      <c r="O90" s="10" t="s">
        <v>7</v>
      </c>
      <c r="P90" s="12"/>
      <c r="R90" s="119" t="s">
        <v>524</v>
      </c>
      <c r="S90" s="110" t="s">
        <v>32</v>
      </c>
      <c r="T90" s="119" t="s">
        <v>524</v>
      </c>
      <c r="U90" s="110" t="s">
        <v>32</v>
      </c>
      <c r="V90" s="10" t="s">
        <v>32</v>
      </c>
      <c r="X90" s="18" t="s">
        <v>51</v>
      </c>
      <c r="AA90" s="26" t="s">
        <v>39</v>
      </c>
      <c r="AM90" s="10" t="s">
        <v>68</v>
      </c>
    </row>
    <row r="91" spans="3:39" ht="11.7" thickBot="1" x14ac:dyDescent="0.4">
      <c r="D91" s="26" t="s">
        <v>46</v>
      </c>
      <c r="G91" s="26" t="s">
        <v>46</v>
      </c>
      <c r="I91" s="10" t="s">
        <v>220</v>
      </c>
      <c r="J91" s="26" t="s">
        <v>37</v>
      </c>
      <c r="L91" s="10" t="s">
        <v>220</v>
      </c>
      <c r="M91" s="26" t="s">
        <v>37</v>
      </c>
      <c r="P91" s="12"/>
      <c r="R91" s="119" t="s">
        <v>525</v>
      </c>
      <c r="S91" s="110" t="s">
        <v>39</v>
      </c>
      <c r="T91" s="119" t="s">
        <v>525</v>
      </c>
      <c r="U91" s="110" t="s">
        <v>39</v>
      </c>
      <c r="V91" s="10" t="s">
        <v>39</v>
      </c>
      <c r="X91" s="18" t="s">
        <v>24</v>
      </c>
      <c r="AA91" s="26" t="s">
        <v>194</v>
      </c>
      <c r="AM91" s="10" t="s">
        <v>622</v>
      </c>
    </row>
    <row r="92" spans="3:39" ht="11.7" thickBot="1" x14ac:dyDescent="0.4">
      <c r="D92" s="26" t="s">
        <v>32</v>
      </c>
      <c r="G92" s="26" t="s">
        <v>32</v>
      </c>
      <c r="I92" s="10" t="s">
        <v>7</v>
      </c>
      <c r="J92" s="26" t="s">
        <v>43</v>
      </c>
      <c r="L92" s="10" t="s">
        <v>7</v>
      </c>
      <c r="M92" s="26" t="s">
        <v>43</v>
      </c>
      <c r="O92" s="28" t="s">
        <v>167</v>
      </c>
      <c r="P92" s="29" t="s">
        <v>162</v>
      </c>
      <c r="R92" s="119" t="s">
        <v>657</v>
      </c>
      <c r="S92" s="110" t="s">
        <v>46</v>
      </c>
      <c r="T92" s="119" t="s">
        <v>657</v>
      </c>
      <c r="U92" s="110" t="s">
        <v>46</v>
      </c>
      <c r="V92" s="10" t="s">
        <v>46</v>
      </c>
      <c r="X92" s="18" t="s">
        <v>7</v>
      </c>
      <c r="AA92" s="26" t="s">
        <v>46</v>
      </c>
      <c r="AM92" s="10" t="s">
        <v>46</v>
      </c>
    </row>
    <row r="93" spans="3:39" x14ac:dyDescent="0.35">
      <c r="D93" s="26" t="s">
        <v>24</v>
      </c>
      <c r="G93" s="26" t="s">
        <v>24</v>
      </c>
      <c r="J93" s="26" t="s">
        <v>32</v>
      </c>
      <c r="M93" s="26" t="s">
        <v>32</v>
      </c>
      <c r="O93" s="7" t="s">
        <v>158</v>
      </c>
      <c r="P93" s="30" t="s">
        <v>27</v>
      </c>
      <c r="R93" s="119" t="s">
        <v>658</v>
      </c>
      <c r="S93" s="110" t="s">
        <v>32</v>
      </c>
      <c r="T93" s="119" t="s">
        <v>658</v>
      </c>
      <c r="U93" s="110" t="s">
        <v>32</v>
      </c>
      <c r="V93" s="10" t="s">
        <v>32</v>
      </c>
      <c r="X93" s="25" t="s">
        <v>174</v>
      </c>
      <c r="AA93" s="26" t="s">
        <v>32</v>
      </c>
      <c r="AM93" s="10" t="s">
        <v>68</v>
      </c>
    </row>
    <row r="94" spans="3:39" x14ac:dyDescent="0.35">
      <c r="D94" s="26" t="s">
        <v>40</v>
      </c>
      <c r="G94" s="26" t="s">
        <v>40</v>
      </c>
      <c r="J94" s="26" t="s">
        <v>39</v>
      </c>
      <c r="M94" s="26" t="s">
        <v>39</v>
      </c>
      <c r="O94" s="10" t="s">
        <v>256</v>
      </c>
      <c r="P94" s="30" t="s">
        <v>34</v>
      </c>
      <c r="R94" s="119" t="s">
        <v>659</v>
      </c>
      <c r="S94" s="110" t="s">
        <v>24</v>
      </c>
      <c r="T94" s="119" t="s">
        <v>659</v>
      </c>
      <c r="U94" s="110" t="s">
        <v>24</v>
      </c>
      <c r="V94" s="10" t="s">
        <v>24</v>
      </c>
      <c r="W94" s="23" t="s">
        <v>173</v>
      </c>
      <c r="X94" s="26" t="s">
        <v>175</v>
      </c>
      <c r="AA94" s="26" t="s">
        <v>24</v>
      </c>
      <c r="AM94" s="10" t="s">
        <v>647</v>
      </c>
    </row>
    <row r="95" spans="3:39" x14ac:dyDescent="0.35">
      <c r="D95" s="26" t="s">
        <v>41</v>
      </c>
      <c r="G95" s="26" t="s">
        <v>41</v>
      </c>
      <c r="J95" s="26" t="s">
        <v>32</v>
      </c>
      <c r="M95" s="26" t="s">
        <v>32</v>
      </c>
      <c r="O95" s="10" t="s">
        <v>299</v>
      </c>
      <c r="P95" s="30" t="s">
        <v>35</v>
      </c>
      <c r="R95" s="119" t="s">
        <v>7</v>
      </c>
      <c r="S95" s="110" t="s">
        <v>40</v>
      </c>
      <c r="T95" s="119" t="s">
        <v>7</v>
      </c>
      <c r="U95" s="110" t="s">
        <v>40</v>
      </c>
      <c r="V95" s="10" t="s">
        <v>40</v>
      </c>
      <c r="W95" s="7" t="s">
        <v>152</v>
      </c>
      <c r="X95" s="26" t="s">
        <v>28</v>
      </c>
      <c r="AA95" s="26" t="s">
        <v>40</v>
      </c>
      <c r="AM95" s="10" t="s">
        <v>654</v>
      </c>
    </row>
    <row r="96" spans="3:39" x14ac:dyDescent="0.35">
      <c r="D96" s="26" t="s">
        <v>30</v>
      </c>
      <c r="G96" s="26" t="s">
        <v>30</v>
      </c>
      <c r="J96" s="26" t="s">
        <v>24</v>
      </c>
      <c r="M96" s="26" t="s">
        <v>24</v>
      </c>
      <c r="O96" s="10" t="s">
        <v>208</v>
      </c>
      <c r="P96" s="30" t="s">
        <v>30</v>
      </c>
      <c r="R96" s="119" t="s">
        <v>624</v>
      </c>
      <c r="S96" s="110" t="s">
        <v>547</v>
      </c>
      <c r="T96" s="119" t="s">
        <v>624</v>
      </c>
      <c r="U96" s="110" t="s">
        <v>547</v>
      </c>
      <c r="V96" s="10" t="s">
        <v>547</v>
      </c>
      <c r="W96" s="10" t="s">
        <v>307</v>
      </c>
      <c r="X96" s="26" t="s">
        <v>30</v>
      </c>
      <c r="AA96" s="26" t="s">
        <v>82</v>
      </c>
      <c r="AM96" s="10" t="s">
        <v>631</v>
      </c>
    </row>
    <row r="97" spans="4:39" x14ac:dyDescent="0.35">
      <c r="D97" s="26" t="s">
        <v>42</v>
      </c>
      <c r="G97" s="26" t="s">
        <v>42</v>
      </c>
      <c r="J97" s="26" t="s">
        <v>44</v>
      </c>
      <c r="M97" s="26" t="s">
        <v>44</v>
      </c>
      <c r="O97" s="10" t="s">
        <v>242</v>
      </c>
      <c r="P97" s="30" t="s">
        <v>36</v>
      </c>
      <c r="R97" s="119"/>
      <c r="S97" s="110" t="s">
        <v>30</v>
      </c>
      <c r="T97" s="119"/>
      <c r="U97" s="110" t="s">
        <v>30</v>
      </c>
      <c r="V97" s="10" t="s">
        <v>30</v>
      </c>
      <c r="W97" s="10" t="s">
        <v>308</v>
      </c>
      <c r="X97" s="26" t="s">
        <v>31</v>
      </c>
      <c r="AA97" s="26" t="s">
        <v>30</v>
      </c>
      <c r="AM97" s="10" t="s">
        <v>620</v>
      </c>
    </row>
    <row r="98" spans="4:39" x14ac:dyDescent="0.35">
      <c r="D98" s="26" t="s">
        <v>32</v>
      </c>
      <c r="G98" s="26" t="s">
        <v>32</v>
      </c>
      <c r="J98" s="26" t="s">
        <v>45</v>
      </c>
      <c r="M98" s="26" t="s">
        <v>45</v>
      </c>
      <c r="O98" s="10" t="s">
        <v>290</v>
      </c>
      <c r="P98" s="30" t="s">
        <v>32</v>
      </c>
      <c r="R98" s="119"/>
      <c r="S98" s="110" t="s">
        <v>38</v>
      </c>
      <c r="T98" s="119"/>
      <c r="U98" s="110" t="s">
        <v>38</v>
      </c>
      <c r="V98" s="10" t="s">
        <v>38</v>
      </c>
      <c r="W98" s="10" t="s">
        <v>208</v>
      </c>
      <c r="X98" s="26" t="s">
        <v>32</v>
      </c>
      <c r="AA98" s="26" t="s">
        <v>42</v>
      </c>
      <c r="AM98" s="10" t="s">
        <v>38</v>
      </c>
    </row>
    <row r="99" spans="4:39" x14ac:dyDescent="0.35">
      <c r="D99" s="26" t="s">
        <v>37</v>
      </c>
      <c r="G99" s="26" t="s">
        <v>37</v>
      </c>
      <c r="J99" s="26" t="s">
        <v>30</v>
      </c>
      <c r="M99" s="26" t="s">
        <v>30</v>
      </c>
      <c r="O99" s="10" t="s">
        <v>434</v>
      </c>
      <c r="P99" s="30" t="s">
        <v>37</v>
      </c>
      <c r="R99" s="119"/>
      <c r="S99" s="110" t="s">
        <v>32</v>
      </c>
      <c r="T99" s="119"/>
      <c r="U99" s="110" t="s">
        <v>32</v>
      </c>
      <c r="V99" s="10" t="s">
        <v>32</v>
      </c>
      <c r="W99" s="10" t="s">
        <v>209</v>
      </c>
      <c r="X99" s="26" t="s">
        <v>33</v>
      </c>
      <c r="AA99" s="26" t="s">
        <v>32</v>
      </c>
      <c r="AM99" s="10" t="s">
        <v>68</v>
      </c>
    </row>
    <row r="100" spans="4:39" x14ac:dyDescent="0.35">
      <c r="D100" s="26" t="s">
        <v>43</v>
      </c>
      <c r="G100" s="26" t="s">
        <v>43</v>
      </c>
      <c r="J100" s="26" t="s">
        <v>38</v>
      </c>
      <c r="M100" s="26" t="s">
        <v>38</v>
      </c>
      <c r="O100" s="10" t="s">
        <v>435</v>
      </c>
      <c r="P100" s="30" t="s">
        <v>38</v>
      </c>
      <c r="R100" s="12"/>
      <c r="S100" s="110" t="s">
        <v>37</v>
      </c>
      <c r="T100" s="12"/>
      <c r="U100" s="110" t="s">
        <v>37</v>
      </c>
      <c r="V100" s="10" t="s">
        <v>37</v>
      </c>
      <c r="W100" s="10" t="s">
        <v>309</v>
      </c>
      <c r="X100" s="26" t="s">
        <v>32</v>
      </c>
      <c r="AA100" s="26" t="s">
        <v>37</v>
      </c>
      <c r="AM100" s="10" t="s">
        <v>621</v>
      </c>
    </row>
    <row r="101" spans="4:39" x14ac:dyDescent="0.35">
      <c r="D101" s="26" t="s">
        <v>32</v>
      </c>
      <c r="G101" s="26" t="s">
        <v>32</v>
      </c>
      <c r="J101" s="26" t="s">
        <v>32</v>
      </c>
      <c r="M101" s="26" t="s">
        <v>32</v>
      </c>
      <c r="O101" s="10" t="s">
        <v>293</v>
      </c>
      <c r="P101" s="30" t="s">
        <v>32</v>
      </c>
      <c r="R101" s="12"/>
      <c r="S101" s="110" t="s">
        <v>38</v>
      </c>
      <c r="T101" s="12"/>
      <c r="U101" s="110" t="s">
        <v>38</v>
      </c>
      <c r="V101" s="10" t="s">
        <v>38</v>
      </c>
      <c r="W101" s="10" t="s">
        <v>310</v>
      </c>
      <c r="X101" s="26" t="s">
        <v>24</v>
      </c>
      <c r="AA101" s="26" t="s">
        <v>43</v>
      </c>
      <c r="AM101" s="10" t="s">
        <v>38</v>
      </c>
    </row>
    <row r="102" spans="4:39" x14ac:dyDescent="0.35">
      <c r="D102" s="26" t="s">
        <v>39</v>
      </c>
      <c r="G102" s="26" t="s">
        <v>39</v>
      </c>
      <c r="J102" s="26" t="s">
        <v>37</v>
      </c>
      <c r="M102" s="26" t="s">
        <v>37</v>
      </c>
      <c r="O102" s="10" t="s">
        <v>212</v>
      </c>
      <c r="P102" s="30" t="s">
        <v>39</v>
      </c>
      <c r="R102" s="12"/>
      <c r="S102" s="110" t="s">
        <v>32</v>
      </c>
      <c r="T102" s="12"/>
      <c r="U102" s="110" t="s">
        <v>32</v>
      </c>
      <c r="V102" s="10" t="s">
        <v>32</v>
      </c>
      <c r="W102" s="10" t="s">
        <v>212</v>
      </c>
      <c r="X102" s="26" t="s">
        <v>34</v>
      </c>
      <c r="AA102" s="26" t="s">
        <v>32</v>
      </c>
      <c r="AM102" s="10" t="s">
        <v>632</v>
      </c>
    </row>
    <row r="103" spans="4:39" x14ac:dyDescent="0.35">
      <c r="D103" s="26" t="s">
        <v>32</v>
      </c>
      <c r="G103" s="26" t="s">
        <v>32</v>
      </c>
      <c r="J103" s="26" t="s">
        <v>38</v>
      </c>
      <c r="M103" s="26" t="s">
        <v>38</v>
      </c>
      <c r="O103" s="10" t="s">
        <v>226</v>
      </c>
      <c r="P103" s="30" t="s">
        <v>46</v>
      </c>
      <c r="R103" s="12"/>
      <c r="S103" s="110" t="s">
        <v>39</v>
      </c>
      <c r="T103" s="12"/>
      <c r="U103" s="110" t="s">
        <v>39</v>
      </c>
      <c r="V103" s="10" t="s">
        <v>39</v>
      </c>
      <c r="W103" s="10" t="s">
        <v>293</v>
      </c>
      <c r="X103" s="26" t="s">
        <v>35</v>
      </c>
      <c r="AA103" s="26" t="s">
        <v>39</v>
      </c>
      <c r="AM103" s="10" t="s">
        <v>622</v>
      </c>
    </row>
    <row r="104" spans="4:39" x14ac:dyDescent="0.35">
      <c r="D104" s="26" t="s">
        <v>24</v>
      </c>
      <c r="G104" s="26" t="s">
        <v>24</v>
      </c>
      <c r="J104" s="26" t="s">
        <v>32</v>
      </c>
      <c r="M104" s="26" t="s">
        <v>32</v>
      </c>
      <c r="O104" s="10" t="s">
        <v>300</v>
      </c>
      <c r="P104" s="30" t="s">
        <v>32</v>
      </c>
      <c r="R104" s="12"/>
      <c r="S104" s="110" t="s">
        <v>46</v>
      </c>
      <c r="T104" s="12"/>
      <c r="U104" s="110" t="s">
        <v>46</v>
      </c>
      <c r="V104" s="10" t="s">
        <v>46</v>
      </c>
      <c r="W104" s="10" t="s">
        <v>226</v>
      </c>
      <c r="X104" s="26" t="s">
        <v>30</v>
      </c>
      <c r="AA104" s="26" t="s">
        <v>194</v>
      </c>
      <c r="AM104" s="10" t="s">
        <v>46</v>
      </c>
    </row>
    <row r="105" spans="4:39" x14ac:dyDescent="0.35">
      <c r="D105" s="26" t="s">
        <v>44</v>
      </c>
      <c r="G105" s="26" t="s">
        <v>44</v>
      </c>
      <c r="J105" s="26" t="s">
        <v>39</v>
      </c>
      <c r="M105" s="26" t="s">
        <v>39</v>
      </c>
      <c r="O105" s="10" t="s">
        <v>296</v>
      </c>
      <c r="P105" s="30" t="s">
        <v>24</v>
      </c>
      <c r="R105" s="12"/>
      <c r="S105" s="110" t="s">
        <v>32</v>
      </c>
      <c r="T105" s="12"/>
      <c r="U105" s="110" t="s">
        <v>32</v>
      </c>
      <c r="V105" s="10" t="s">
        <v>32</v>
      </c>
      <c r="W105" s="10" t="s">
        <v>312</v>
      </c>
      <c r="X105" s="26" t="s">
        <v>36</v>
      </c>
      <c r="AA105" s="26" t="s">
        <v>32</v>
      </c>
      <c r="AM105" s="10" t="s">
        <v>68</v>
      </c>
    </row>
    <row r="106" spans="4:39" x14ac:dyDescent="0.35">
      <c r="D106" s="26" t="s">
        <v>45</v>
      </c>
      <c r="G106" s="26" t="s">
        <v>45</v>
      </c>
      <c r="J106" s="26" t="s">
        <v>25</v>
      </c>
      <c r="M106" s="26" t="s">
        <v>25</v>
      </c>
      <c r="O106" s="10" t="s">
        <v>297</v>
      </c>
      <c r="P106" s="30" t="s">
        <v>44</v>
      </c>
      <c r="R106" s="12"/>
      <c r="S106" s="110" t="s">
        <v>24</v>
      </c>
      <c r="T106" s="12"/>
      <c r="U106" s="110" t="s">
        <v>24</v>
      </c>
      <c r="V106" s="10" t="s">
        <v>24</v>
      </c>
      <c r="W106" s="10" t="s">
        <v>311</v>
      </c>
      <c r="X106" s="26" t="s">
        <v>32</v>
      </c>
      <c r="AA106" s="26" t="s">
        <v>24</v>
      </c>
      <c r="AM106" s="10" t="s">
        <v>647</v>
      </c>
    </row>
    <row r="107" spans="4:39" x14ac:dyDescent="0.35">
      <c r="D107" s="26" t="s">
        <v>30</v>
      </c>
      <c r="G107" s="26" t="s">
        <v>30</v>
      </c>
      <c r="J107" s="26" t="s">
        <v>32</v>
      </c>
      <c r="M107" s="26" t="s">
        <v>32</v>
      </c>
      <c r="O107" s="10" t="s">
        <v>298</v>
      </c>
      <c r="P107" s="30" t="s">
        <v>45</v>
      </c>
      <c r="R107" s="12"/>
      <c r="S107" s="110" t="s">
        <v>47</v>
      </c>
      <c r="T107" s="12"/>
      <c r="U107" s="110" t="s">
        <v>47</v>
      </c>
      <c r="V107" s="10" t="s">
        <v>47</v>
      </c>
      <c r="W107" s="10" t="s">
        <v>313</v>
      </c>
      <c r="X107" s="26" t="s">
        <v>37</v>
      </c>
      <c r="AA107" s="26" t="s">
        <v>44</v>
      </c>
      <c r="AM107" s="10" t="s">
        <v>650</v>
      </c>
    </row>
    <row r="108" spans="4:39" x14ac:dyDescent="0.35">
      <c r="D108" s="26" t="s">
        <v>38</v>
      </c>
      <c r="G108" s="26" t="s">
        <v>38</v>
      </c>
      <c r="J108" s="26" t="s">
        <v>24</v>
      </c>
      <c r="M108" s="26" t="s">
        <v>24</v>
      </c>
      <c r="O108" s="10" t="s">
        <v>220</v>
      </c>
      <c r="P108" s="30" t="s">
        <v>30</v>
      </c>
      <c r="R108" s="12"/>
      <c r="S108" s="110" t="s">
        <v>548</v>
      </c>
      <c r="T108" s="12"/>
      <c r="U108" s="110" t="s">
        <v>548</v>
      </c>
      <c r="V108" s="10" t="s">
        <v>548</v>
      </c>
      <c r="W108" s="10" t="s">
        <v>314</v>
      </c>
      <c r="X108" s="26" t="s">
        <v>38</v>
      </c>
      <c r="AA108" s="26" t="s">
        <v>83</v>
      </c>
      <c r="AM108" s="10" t="s">
        <v>633</v>
      </c>
    </row>
    <row r="109" spans="4:39" x14ac:dyDescent="0.35">
      <c r="D109" s="26" t="s">
        <v>32</v>
      </c>
      <c r="G109" s="26" t="s">
        <v>32</v>
      </c>
      <c r="J109" s="26" t="s">
        <v>47</v>
      </c>
      <c r="M109" s="26" t="s">
        <v>47</v>
      </c>
      <c r="O109" s="10" t="s">
        <v>7</v>
      </c>
      <c r="P109" s="30" t="s">
        <v>38</v>
      </c>
      <c r="R109" s="12"/>
      <c r="S109" s="110" t="s">
        <v>30</v>
      </c>
      <c r="T109" s="12"/>
      <c r="U109" s="110" t="s">
        <v>30</v>
      </c>
      <c r="V109" s="10" t="s">
        <v>30</v>
      </c>
      <c r="W109" s="10" t="s">
        <v>24</v>
      </c>
      <c r="X109" s="26" t="s">
        <v>32</v>
      </c>
      <c r="AA109" s="26" t="s">
        <v>30</v>
      </c>
      <c r="AM109" s="10" t="s">
        <v>620</v>
      </c>
    </row>
    <row r="110" spans="4:39" x14ac:dyDescent="0.35">
      <c r="D110" s="26" t="s">
        <v>37</v>
      </c>
      <c r="G110" s="26" t="s">
        <v>37</v>
      </c>
      <c r="J110" s="26" t="s">
        <v>48</v>
      </c>
      <c r="M110" s="26" t="s">
        <v>48</v>
      </c>
      <c r="P110" s="30" t="s">
        <v>32</v>
      </c>
      <c r="R110" s="12"/>
      <c r="S110" s="110" t="s">
        <v>49</v>
      </c>
      <c r="T110" s="12"/>
      <c r="U110" s="110" t="s">
        <v>49</v>
      </c>
      <c r="V110" s="10" t="s">
        <v>49</v>
      </c>
      <c r="W110" s="10" t="s">
        <v>7</v>
      </c>
      <c r="X110" s="26" t="s">
        <v>39</v>
      </c>
      <c r="AA110" s="26" t="s">
        <v>38</v>
      </c>
      <c r="AM110" s="10" t="s">
        <v>49</v>
      </c>
    </row>
    <row r="111" spans="4:39" x14ac:dyDescent="0.35">
      <c r="D111" s="26" t="s">
        <v>38</v>
      </c>
      <c r="G111" s="26" t="s">
        <v>38</v>
      </c>
      <c r="J111" s="26" t="s">
        <v>202</v>
      </c>
      <c r="M111" s="26" t="s">
        <v>202</v>
      </c>
      <c r="P111" s="30" t="s">
        <v>37</v>
      </c>
      <c r="R111" s="12"/>
      <c r="S111" s="110" t="s">
        <v>50</v>
      </c>
      <c r="T111" s="12"/>
      <c r="U111" s="110" t="s">
        <v>50</v>
      </c>
      <c r="V111" s="10" t="s">
        <v>50</v>
      </c>
      <c r="X111" s="26" t="s">
        <v>46</v>
      </c>
      <c r="AA111" s="26" t="s">
        <v>32</v>
      </c>
      <c r="AM111" s="10" t="s">
        <v>50</v>
      </c>
    </row>
    <row r="112" spans="4:39" x14ac:dyDescent="0.35">
      <c r="D112" s="26" t="s">
        <v>32</v>
      </c>
      <c r="G112" s="26" t="s">
        <v>32</v>
      </c>
      <c r="J112" s="26" t="s">
        <v>49</v>
      </c>
      <c r="M112" s="26" t="s">
        <v>49</v>
      </c>
      <c r="P112" s="30" t="s">
        <v>38</v>
      </c>
      <c r="R112" s="12"/>
      <c r="S112" s="110" t="s">
        <v>32</v>
      </c>
      <c r="T112" s="12"/>
      <c r="U112" s="110" t="s">
        <v>32</v>
      </c>
      <c r="V112" s="10" t="s">
        <v>32</v>
      </c>
      <c r="X112" s="26" t="s">
        <v>32</v>
      </c>
      <c r="AA112" s="26" t="s">
        <v>37</v>
      </c>
      <c r="AM112" s="10" t="s">
        <v>68</v>
      </c>
    </row>
    <row r="113" spans="4:39" x14ac:dyDescent="0.35">
      <c r="D113" s="26" t="s">
        <v>39</v>
      </c>
      <c r="G113" s="26" t="s">
        <v>39</v>
      </c>
      <c r="J113" s="26" t="s">
        <v>50</v>
      </c>
      <c r="M113" s="26" t="s">
        <v>50</v>
      </c>
      <c r="P113" s="30" t="s">
        <v>32</v>
      </c>
      <c r="R113" s="12"/>
      <c r="S113" s="110" t="s">
        <v>39</v>
      </c>
      <c r="T113" s="12"/>
      <c r="U113" s="110" t="s">
        <v>39</v>
      </c>
      <c r="V113" s="10" t="s">
        <v>39</v>
      </c>
      <c r="X113" s="26" t="s">
        <v>24</v>
      </c>
      <c r="AA113" s="26" t="s">
        <v>38</v>
      </c>
      <c r="AM113" s="10" t="s">
        <v>622</v>
      </c>
    </row>
    <row r="114" spans="4:39" x14ac:dyDescent="0.35">
      <c r="D114" s="26" t="s">
        <v>25</v>
      </c>
      <c r="G114" s="26" t="s">
        <v>25</v>
      </c>
      <c r="J114" s="26" t="s">
        <v>32</v>
      </c>
      <c r="M114" s="26" t="s">
        <v>32</v>
      </c>
      <c r="P114" s="30" t="s">
        <v>39</v>
      </c>
      <c r="R114" s="12"/>
      <c r="S114" s="110" t="s">
        <v>32</v>
      </c>
      <c r="T114" s="12"/>
      <c r="U114" s="110" t="s">
        <v>32</v>
      </c>
      <c r="V114" s="10" t="s">
        <v>32</v>
      </c>
      <c r="X114" s="26" t="s">
        <v>40</v>
      </c>
      <c r="AA114" s="26" t="s">
        <v>32</v>
      </c>
      <c r="AM114" s="10" t="s">
        <v>68</v>
      </c>
    </row>
    <row r="115" spans="4:39" x14ac:dyDescent="0.35">
      <c r="D115" s="26" t="s">
        <v>32</v>
      </c>
      <c r="G115" s="26" t="s">
        <v>32</v>
      </c>
      <c r="J115" s="26" t="s">
        <v>39</v>
      </c>
      <c r="M115" s="26" t="s">
        <v>39</v>
      </c>
      <c r="P115" s="30" t="s">
        <v>46</v>
      </c>
      <c r="R115" s="12"/>
      <c r="S115" s="110" t="s">
        <v>24</v>
      </c>
      <c r="T115" s="12"/>
      <c r="U115" s="110" t="s">
        <v>24</v>
      </c>
      <c r="V115" s="10" t="s">
        <v>24</v>
      </c>
      <c r="X115" s="26" t="s">
        <v>41</v>
      </c>
      <c r="AA115" s="26" t="s">
        <v>39</v>
      </c>
      <c r="AM115" s="10" t="s">
        <v>647</v>
      </c>
    </row>
    <row r="116" spans="4:39" x14ac:dyDescent="0.35">
      <c r="D116" s="26" t="s">
        <v>61</v>
      </c>
      <c r="G116" s="26" t="s">
        <v>61</v>
      </c>
      <c r="J116" s="26" t="s">
        <v>32</v>
      </c>
      <c r="M116" s="26" t="s">
        <v>32</v>
      </c>
      <c r="P116" s="30" t="s">
        <v>32</v>
      </c>
      <c r="R116" s="12"/>
      <c r="S116" s="110" t="s">
        <v>51</v>
      </c>
      <c r="T116" s="12"/>
      <c r="U116" s="110" t="s">
        <v>51</v>
      </c>
      <c r="V116" s="10" t="s">
        <v>51</v>
      </c>
      <c r="X116" s="26" t="s">
        <v>30</v>
      </c>
      <c r="AA116" s="26" t="s">
        <v>194</v>
      </c>
      <c r="AM116" s="10" t="s">
        <v>651</v>
      </c>
    </row>
    <row r="117" spans="4:39" x14ac:dyDescent="0.35">
      <c r="D117" s="26" t="s">
        <v>47</v>
      </c>
      <c r="G117" s="26" t="s">
        <v>47</v>
      </c>
      <c r="J117" s="26" t="s">
        <v>24</v>
      </c>
      <c r="M117" s="26" t="s">
        <v>24</v>
      </c>
      <c r="P117" s="30" t="s">
        <v>24</v>
      </c>
      <c r="R117" s="12"/>
      <c r="S117" s="110" t="s">
        <v>24</v>
      </c>
      <c r="T117" s="12"/>
      <c r="U117" s="110" t="s">
        <v>24</v>
      </c>
      <c r="V117" s="10" t="s">
        <v>24</v>
      </c>
      <c r="X117" s="26" t="s">
        <v>42</v>
      </c>
      <c r="AA117" s="26" t="s">
        <v>46</v>
      </c>
      <c r="AM117" s="10" t="s">
        <v>647</v>
      </c>
    </row>
    <row r="118" spans="4:39" x14ac:dyDescent="0.35">
      <c r="D118" s="26" t="s">
        <v>48</v>
      </c>
      <c r="G118" s="26" t="s">
        <v>48</v>
      </c>
      <c r="J118" s="26" t="s">
        <v>51</v>
      </c>
      <c r="M118" s="26" t="s">
        <v>51</v>
      </c>
      <c r="P118" s="30" t="s">
        <v>47</v>
      </c>
      <c r="R118" s="12"/>
      <c r="S118" s="110" t="s">
        <v>7</v>
      </c>
      <c r="T118" s="12"/>
      <c r="U118" s="110" t="s">
        <v>7</v>
      </c>
      <c r="V118" s="10" t="s">
        <v>7</v>
      </c>
      <c r="X118" s="26" t="s">
        <v>32</v>
      </c>
      <c r="AA118" s="26" t="s">
        <v>32</v>
      </c>
      <c r="AM118" s="10" t="s">
        <v>7</v>
      </c>
    </row>
    <row r="119" spans="4:39" x14ac:dyDescent="0.35">
      <c r="D119" s="26" t="s">
        <v>30</v>
      </c>
      <c r="G119" s="26" t="s">
        <v>30</v>
      </c>
      <c r="J119" s="26" t="s">
        <v>24</v>
      </c>
      <c r="M119" s="26" t="s">
        <v>24</v>
      </c>
      <c r="P119" s="30" t="s">
        <v>163</v>
      </c>
      <c r="R119" s="12"/>
      <c r="S119" s="110" t="s">
        <v>160</v>
      </c>
      <c r="T119" s="12"/>
      <c r="U119" s="110" t="s">
        <v>160</v>
      </c>
      <c r="V119" s="10" t="s">
        <v>160</v>
      </c>
      <c r="X119" s="26" t="s">
        <v>37</v>
      </c>
      <c r="AA119" s="26" t="s">
        <v>24</v>
      </c>
      <c r="AM119" s="10" t="s">
        <v>160</v>
      </c>
    </row>
    <row r="120" spans="4:39" x14ac:dyDescent="0.35">
      <c r="D120" s="26" t="s">
        <v>49</v>
      </c>
      <c r="G120" s="26" t="s">
        <v>49</v>
      </c>
      <c r="J120" s="26" t="s">
        <v>7</v>
      </c>
      <c r="M120" s="26" t="s">
        <v>7</v>
      </c>
      <c r="P120" s="30" t="s">
        <v>30</v>
      </c>
      <c r="R120" s="12"/>
      <c r="S120" s="110" t="s">
        <v>550</v>
      </c>
      <c r="T120" s="12"/>
      <c r="U120" s="110" t="s">
        <v>550</v>
      </c>
      <c r="V120" s="10" t="s">
        <v>550</v>
      </c>
      <c r="X120" s="26" t="s">
        <v>43</v>
      </c>
      <c r="AA120" s="26" t="s">
        <v>47</v>
      </c>
      <c r="AM120" s="10" t="s">
        <v>660</v>
      </c>
    </row>
    <row r="121" spans="4:39" x14ac:dyDescent="0.35">
      <c r="D121" s="26" t="s">
        <v>50</v>
      </c>
      <c r="G121" s="26" t="s">
        <v>50</v>
      </c>
      <c r="J121" s="26" t="s">
        <v>203</v>
      </c>
      <c r="M121" s="26" t="s">
        <v>203</v>
      </c>
      <c r="P121" s="30" t="s">
        <v>49</v>
      </c>
      <c r="R121" s="12"/>
      <c r="S121" s="110" t="s">
        <v>34</v>
      </c>
      <c r="T121" s="12"/>
      <c r="U121" s="110" t="s">
        <v>34</v>
      </c>
      <c r="V121" s="10" t="s">
        <v>34</v>
      </c>
      <c r="X121" s="26" t="s">
        <v>32</v>
      </c>
      <c r="AA121" s="26" t="s">
        <v>195</v>
      </c>
      <c r="AM121" s="10" t="s">
        <v>645</v>
      </c>
    </row>
    <row r="122" spans="4:39" x14ac:dyDescent="0.35">
      <c r="D122" s="26" t="s">
        <v>32</v>
      </c>
      <c r="G122" s="26" t="s">
        <v>32</v>
      </c>
      <c r="J122" s="26" t="s">
        <v>204</v>
      </c>
      <c r="M122" s="26" t="s">
        <v>204</v>
      </c>
      <c r="P122" s="30" t="s">
        <v>50</v>
      </c>
      <c r="R122" s="12"/>
      <c r="S122" s="110" t="s">
        <v>73</v>
      </c>
      <c r="T122" s="12"/>
      <c r="U122" s="110" t="s">
        <v>73</v>
      </c>
      <c r="V122" s="10" t="s">
        <v>73</v>
      </c>
      <c r="X122" s="26" t="s">
        <v>39</v>
      </c>
      <c r="AA122" s="26" t="s">
        <v>30</v>
      </c>
      <c r="AM122" s="10" t="s">
        <v>634</v>
      </c>
    </row>
    <row r="123" spans="4:39" x14ac:dyDescent="0.35">
      <c r="D123" s="26" t="s">
        <v>39</v>
      </c>
      <c r="G123" s="26" t="s">
        <v>39</v>
      </c>
      <c r="J123" s="26" t="s">
        <v>28</v>
      </c>
      <c r="M123" s="26" t="s">
        <v>28</v>
      </c>
      <c r="P123" s="30" t="s">
        <v>32</v>
      </c>
      <c r="R123" s="12"/>
      <c r="S123" s="110" t="s">
        <v>30</v>
      </c>
      <c r="T123" s="12"/>
      <c r="U123" s="110" t="s">
        <v>30</v>
      </c>
      <c r="V123" s="10" t="s">
        <v>30</v>
      </c>
      <c r="X123" s="26" t="s">
        <v>32</v>
      </c>
      <c r="AA123" s="26" t="s">
        <v>49</v>
      </c>
      <c r="AM123" s="10" t="s">
        <v>620</v>
      </c>
    </row>
    <row r="124" spans="4:39" x14ac:dyDescent="0.35">
      <c r="D124" s="26" t="s">
        <v>32</v>
      </c>
      <c r="G124" s="26" t="s">
        <v>32</v>
      </c>
      <c r="J124" s="26" t="s">
        <v>29</v>
      </c>
      <c r="M124" s="26" t="s">
        <v>29</v>
      </c>
      <c r="P124" s="30" t="s">
        <v>39</v>
      </c>
      <c r="R124" s="12"/>
      <c r="S124" s="110" t="s">
        <v>38</v>
      </c>
      <c r="T124" s="12"/>
      <c r="U124" s="110" t="s">
        <v>38</v>
      </c>
      <c r="V124" s="10" t="s">
        <v>38</v>
      </c>
      <c r="X124" s="26" t="s">
        <v>24</v>
      </c>
      <c r="AA124" s="26" t="s">
        <v>50</v>
      </c>
      <c r="AM124" s="10" t="s">
        <v>38</v>
      </c>
    </row>
    <row r="125" spans="4:39" x14ac:dyDescent="0.35">
      <c r="D125" s="26" t="s">
        <v>24</v>
      </c>
      <c r="G125" s="26" t="s">
        <v>24</v>
      </c>
      <c r="J125" s="26" t="s">
        <v>30</v>
      </c>
      <c r="M125" s="26" t="s">
        <v>30</v>
      </c>
      <c r="P125" s="30" t="s">
        <v>32</v>
      </c>
      <c r="R125" s="12"/>
      <c r="S125" s="110" t="s">
        <v>36</v>
      </c>
      <c r="T125" s="12"/>
      <c r="U125" s="110" t="s">
        <v>36</v>
      </c>
      <c r="V125" s="10" t="s">
        <v>36</v>
      </c>
      <c r="X125" s="26" t="s">
        <v>44</v>
      </c>
      <c r="AA125" s="26" t="s">
        <v>32</v>
      </c>
      <c r="AM125" s="10" t="s">
        <v>36</v>
      </c>
    </row>
    <row r="126" spans="4:39" x14ac:dyDescent="0.35">
      <c r="D126" s="26" t="s">
        <v>51</v>
      </c>
      <c r="F126" s="19"/>
      <c r="G126" s="26" t="s">
        <v>51</v>
      </c>
      <c r="J126" s="26" t="s">
        <v>31</v>
      </c>
      <c r="M126" s="26" t="s">
        <v>31</v>
      </c>
      <c r="P126" s="30" t="s">
        <v>24</v>
      </c>
      <c r="R126" s="12"/>
      <c r="S126" s="110" t="s">
        <v>32</v>
      </c>
      <c r="T126" s="12"/>
      <c r="U126" s="110" t="s">
        <v>32</v>
      </c>
      <c r="V126" s="10" t="s">
        <v>32</v>
      </c>
      <c r="X126" s="26" t="s">
        <v>45</v>
      </c>
      <c r="AA126" s="26" t="s">
        <v>39</v>
      </c>
      <c r="AM126" s="10" t="s">
        <v>68</v>
      </c>
    </row>
    <row r="127" spans="4:39" x14ac:dyDescent="0.35">
      <c r="D127" s="26" t="s">
        <v>24</v>
      </c>
      <c r="G127" s="26" t="s">
        <v>24</v>
      </c>
      <c r="J127" s="26" t="s">
        <v>32</v>
      </c>
      <c r="M127" s="26" t="s">
        <v>32</v>
      </c>
      <c r="P127" s="30" t="s">
        <v>51</v>
      </c>
      <c r="R127" s="12"/>
      <c r="S127" s="110" t="s">
        <v>33</v>
      </c>
      <c r="T127" s="12"/>
      <c r="U127" s="110" t="s">
        <v>33</v>
      </c>
      <c r="V127" s="10" t="s">
        <v>33</v>
      </c>
      <c r="X127" s="26" t="s">
        <v>30</v>
      </c>
      <c r="AA127" s="26" t="s">
        <v>194</v>
      </c>
      <c r="AM127" s="10" t="s">
        <v>626</v>
      </c>
    </row>
    <row r="128" spans="4:39" x14ac:dyDescent="0.35">
      <c r="D128" s="26" t="s">
        <v>7</v>
      </c>
      <c r="G128" s="26" t="s">
        <v>7</v>
      </c>
      <c r="J128" s="26" t="s">
        <v>33</v>
      </c>
      <c r="M128" s="26" t="s">
        <v>33</v>
      </c>
      <c r="P128" s="30" t="s">
        <v>24</v>
      </c>
      <c r="R128" s="12"/>
      <c r="S128" s="110" t="s">
        <v>32</v>
      </c>
      <c r="T128" s="12"/>
      <c r="U128" s="110" t="s">
        <v>32</v>
      </c>
      <c r="V128" s="10" t="s">
        <v>32</v>
      </c>
      <c r="X128" s="26" t="s">
        <v>38</v>
      </c>
      <c r="AA128" s="26" t="s">
        <v>32</v>
      </c>
      <c r="AM128" s="10" t="s">
        <v>68</v>
      </c>
    </row>
    <row r="129" spans="3:39" x14ac:dyDescent="0.35">
      <c r="D129" s="26" t="s">
        <v>62</v>
      </c>
      <c r="G129" s="26" t="s">
        <v>94</v>
      </c>
      <c r="J129" s="26" t="s">
        <v>32</v>
      </c>
      <c r="M129" s="26" t="s">
        <v>32</v>
      </c>
      <c r="P129" s="30" t="s">
        <v>7</v>
      </c>
      <c r="R129" s="12"/>
      <c r="S129" s="110" t="s">
        <v>551</v>
      </c>
      <c r="T129" s="12"/>
      <c r="U129" s="110" t="s">
        <v>551</v>
      </c>
      <c r="V129" s="10" t="s">
        <v>551</v>
      </c>
      <c r="X129" s="26" t="s">
        <v>32</v>
      </c>
      <c r="AA129" s="26" t="s">
        <v>24</v>
      </c>
      <c r="AM129" s="10" t="s">
        <v>647</v>
      </c>
    </row>
    <row r="130" spans="3:39" x14ac:dyDescent="0.35">
      <c r="D130" s="26" t="s">
        <v>63</v>
      </c>
      <c r="G130" s="26" t="s">
        <v>63</v>
      </c>
      <c r="J130" s="26" t="s">
        <v>24</v>
      </c>
      <c r="M130" s="26" t="s">
        <v>24</v>
      </c>
      <c r="P130" s="30" t="s">
        <v>164</v>
      </c>
      <c r="R130" s="12"/>
      <c r="S130" s="110" t="s">
        <v>54</v>
      </c>
      <c r="T130" s="12"/>
      <c r="U130" s="110" t="s">
        <v>54</v>
      </c>
      <c r="V130" s="10" t="s">
        <v>54</v>
      </c>
      <c r="X130" s="26" t="s">
        <v>37</v>
      </c>
      <c r="AA130" s="26" t="s">
        <v>51</v>
      </c>
      <c r="AM130" s="10" t="s">
        <v>661</v>
      </c>
    </row>
    <row r="131" spans="3:39" x14ac:dyDescent="0.35">
      <c r="D131" s="26" t="s">
        <v>54</v>
      </c>
      <c r="G131" s="26" t="s">
        <v>54</v>
      </c>
      <c r="J131" s="26" t="s">
        <v>34</v>
      </c>
      <c r="M131" s="26" t="s">
        <v>34</v>
      </c>
      <c r="P131" s="30" t="s">
        <v>53</v>
      </c>
      <c r="R131" s="12"/>
      <c r="S131" s="110" t="s">
        <v>24</v>
      </c>
      <c r="T131" s="12"/>
      <c r="U131" s="110" t="s">
        <v>24</v>
      </c>
      <c r="V131" s="10" t="s">
        <v>24</v>
      </c>
      <c r="X131" s="26" t="s">
        <v>38</v>
      </c>
      <c r="AA131" s="26" t="s">
        <v>24</v>
      </c>
      <c r="AM131" s="10" t="s">
        <v>647</v>
      </c>
    </row>
    <row r="132" spans="3:39" ht="11.7" thickBot="1" x14ac:dyDescent="0.4">
      <c r="D132" s="26" t="s">
        <v>24</v>
      </c>
      <c r="G132" s="26" t="s">
        <v>24</v>
      </c>
      <c r="J132" s="26" t="s">
        <v>78</v>
      </c>
      <c r="M132" s="26" t="s">
        <v>78</v>
      </c>
      <c r="P132" s="30" t="s">
        <v>28</v>
      </c>
      <c r="R132" s="12"/>
      <c r="S132" s="111" t="s">
        <v>7</v>
      </c>
      <c r="T132" s="12"/>
      <c r="U132" s="111" t="s">
        <v>7</v>
      </c>
      <c r="V132" s="10" t="s">
        <v>7</v>
      </c>
      <c r="X132" s="26" t="s">
        <v>32</v>
      </c>
      <c r="AA132" s="26" t="s">
        <v>7</v>
      </c>
      <c r="AM132" s="10" t="s">
        <v>7</v>
      </c>
    </row>
    <row r="133" spans="3:39" x14ac:dyDescent="0.35">
      <c r="D133" s="31" t="s">
        <v>7</v>
      </c>
      <c r="G133" s="31" t="s">
        <v>7</v>
      </c>
      <c r="J133" s="26" t="s">
        <v>30</v>
      </c>
      <c r="M133" s="26" t="s">
        <v>30</v>
      </c>
      <c r="P133" s="30" t="s">
        <v>29</v>
      </c>
      <c r="R133" s="28" t="s">
        <v>456</v>
      </c>
      <c r="S133" s="112" t="s">
        <v>148</v>
      </c>
      <c r="T133" s="28" t="s">
        <v>456</v>
      </c>
      <c r="U133" s="112" t="s">
        <v>139</v>
      </c>
      <c r="V133" s="10" t="s">
        <v>148</v>
      </c>
      <c r="X133" s="26" t="s">
        <v>39</v>
      </c>
      <c r="AA133" s="26" t="s">
        <v>196</v>
      </c>
      <c r="AM133" s="10" t="s">
        <v>148</v>
      </c>
    </row>
    <row r="134" spans="3:39" x14ac:dyDescent="0.35">
      <c r="C134" s="28" t="s">
        <v>117</v>
      </c>
      <c r="D134" s="32" t="s">
        <v>75</v>
      </c>
      <c r="F134" s="28" t="s">
        <v>119</v>
      </c>
      <c r="G134" s="32" t="s">
        <v>95</v>
      </c>
      <c r="J134" s="26" t="s">
        <v>38</v>
      </c>
      <c r="M134" s="26" t="s">
        <v>38</v>
      </c>
      <c r="P134" s="30" t="s">
        <v>30</v>
      </c>
      <c r="R134" s="122" t="s">
        <v>443</v>
      </c>
      <c r="S134" s="113" t="s">
        <v>553</v>
      </c>
      <c r="T134" s="122" t="s">
        <v>443</v>
      </c>
      <c r="U134" s="113" t="s">
        <v>553</v>
      </c>
      <c r="V134" s="10" t="s">
        <v>553</v>
      </c>
      <c r="X134" s="26" t="s">
        <v>46</v>
      </c>
      <c r="AA134" s="26" t="s">
        <v>197</v>
      </c>
      <c r="AM134" s="10" t="s">
        <v>662</v>
      </c>
    </row>
    <row r="135" spans="3:39" ht="11.7" x14ac:dyDescent="0.35">
      <c r="C135" s="28" t="s">
        <v>118</v>
      </c>
      <c r="D135" s="30" t="s">
        <v>76</v>
      </c>
      <c r="F135" s="28" t="s">
        <v>154</v>
      </c>
      <c r="G135" s="30" t="s">
        <v>76</v>
      </c>
      <c r="J135" s="26" t="s">
        <v>32</v>
      </c>
      <c r="M135" s="26" t="s">
        <v>32</v>
      </c>
      <c r="P135" s="30" t="s">
        <v>31</v>
      </c>
      <c r="R135" s="118" t="s">
        <v>531</v>
      </c>
      <c r="S135" s="113" t="s">
        <v>34</v>
      </c>
      <c r="T135" s="118" t="s">
        <v>531</v>
      </c>
      <c r="U135" s="113" t="s">
        <v>34</v>
      </c>
      <c r="V135" s="10" t="s">
        <v>34</v>
      </c>
      <c r="X135" s="26" t="s">
        <v>32</v>
      </c>
      <c r="AA135" s="26" t="s">
        <v>54</v>
      </c>
      <c r="AM135" s="10" t="s">
        <v>645</v>
      </c>
    </row>
    <row r="136" spans="3:39" ht="11.7" x14ac:dyDescent="0.35">
      <c r="C136" s="7" t="s">
        <v>157</v>
      </c>
      <c r="D136" s="30" t="s">
        <v>34</v>
      </c>
      <c r="F136" s="7" t="s">
        <v>157</v>
      </c>
      <c r="G136" s="30" t="s">
        <v>34</v>
      </c>
      <c r="J136" s="26" t="s">
        <v>37</v>
      </c>
      <c r="M136" s="26" t="s">
        <v>37</v>
      </c>
      <c r="P136" s="30" t="s">
        <v>32</v>
      </c>
      <c r="R136" s="118" t="s">
        <v>663</v>
      </c>
      <c r="S136" s="113" t="s">
        <v>35</v>
      </c>
      <c r="T136" s="118" t="s">
        <v>663</v>
      </c>
      <c r="U136" s="113" t="s">
        <v>35</v>
      </c>
      <c r="V136" s="10" t="s">
        <v>35</v>
      </c>
      <c r="X136" s="26" t="s">
        <v>24</v>
      </c>
      <c r="AA136" s="26" t="s">
        <v>198</v>
      </c>
      <c r="AM136" s="10" t="s">
        <v>619</v>
      </c>
    </row>
    <row r="137" spans="3:39" ht="11.7" x14ac:dyDescent="0.35">
      <c r="C137" s="19" t="s">
        <v>232</v>
      </c>
      <c r="D137" s="30" t="s">
        <v>35</v>
      </c>
      <c r="F137" s="19" t="s">
        <v>232</v>
      </c>
      <c r="G137" s="30" t="s">
        <v>35</v>
      </c>
      <c r="J137" s="26" t="s">
        <v>38</v>
      </c>
      <c r="M137" s="26" t="s">
        <v>38</v>
      </c>
      <c r="P137" s="30" t="s">
        <v>33</v>
      </c>
      <c r="R137" s="118" t="s">
        <v>664</v>
      </c>
      <c r="S137" s="113" t="s">
        <v>30</v>
      </c>
      <c r="T137" s="118" t="s">
        <v>664</v>
      </c>
      <c r="U137" s="113" t="s">
        <v>30</v>
      </c>
      <c r="V137" s="10" t="s">
        <v>30</v>
      </c>
      <c r="X137" s="26" t="s">
        <v>47</v>
      </c>
      <c r="AA137" s="26" t="s">
        <v>24</v>
      </c>
      <c r="AM137" s="10" t="s">
        <v>620</v>
      </c>
    </row>
    <row r="138" spans="3:39" ht="12" thickBot="1" x14ac:dyDescent="0.4">
      <c r="C138" s="19" t="s">
        <v>208</v>
      </c>
      <c r="D138" s="30" t="s">
        <v>30</v>
      </c>
      <c r="F138" s="19" t="s">
        <v>208</v>
      </c>
      <c r="G138" s="30" t="s">
        <v>30</v>
      </c>
      <c r="J138" s="26" t="s">
        <v>32</v>
      </c>
      <c r="M138" s="26" t="s">
        <v>32</v>
      </c>
      <c r="P138" s="30" t="s">
        <v>32</v>
      </c>
      <c r="R138" s="118" t="s">
        <v>665</v>
      </c>
      <c r="S138" s="113" t="s">
        <v>36</v>
      </c>
      <c r="T138" s="118" t="s">
        <v>665</v>
      </c>
      <c r="U138" s="113" t="s">
        <v>36</v>
      </c>
      <c r="V138" s="10" t="s">
        <v>36</v>
      </c>
      <c r="X138" s="26" t="s">
        <v>163</v>
      </c>
      <c r="AA138" s="26" t="s">
        <v>7</v>
      </c>
      <c r="AM138" s="10" t="s">
        <v>36</v>
      </c>
    </row>
    <row r="139" spans="3:39" ht="11.7" x14ac:dyDescent="0.35">
      <c r="C139" s="19" t="s">
        <v>242</v>
      </c>
      <c r="D139" s="30" t="s">
        <v>36</v>
      </c>
      <c r="F139" s="19" t="s">
        <v>209</v>
      </c>
      <c r="G139" s="30" t="s">
        <v>36</v>
      </c>
      <c r="J139" s="26" t="s">
        <v>39</v>
      </c>
      <c r="M139" s="26" t="s">
        <v>39</v>
      </c>
      <c r="P139" s="30" t="s">
        <v>24</v>
      </c>
      <c r="R139" s="118" t="s">
        <v>666</v>
      </c>
      <c r="S139" s="113" t="s">
        <v>32</v>
      </c>
      <c r="T139" s="118" t="s">
        <v>666</v>
      </c>
      <c r="U139" s="113" t="s">
        <v>32</v>
      </c>
      <c r="V139" s="10" t="s">
        <v>32</v>
      </c>
      <c r="X139" s="26" t="s">
        <v>30</v>
      </c>
      <c r="Z139" s="28" t="s">
        <v>696</v>
      </c>
      <c r="AA139" s="29" t="s">
        <v>124</v>
      </c>
      <c r="AM139" s="10" t="s">
        <v>68</v>
      </c>
    </row>
    <row r="140" spans="3:39" ht="11.7" x14ac:dyDescent="0.35">
      <c r="C140" s="19" t="s">
        <v>429</v>
      </c>
      <c r="D140" s="30" t="s">
        <v>32</v>
      </c>
      <c r="F140" s="19" t="s">
        <v>275</v>
      </c>
      <c r="G140" s="30" t="s">
        <v>32</v>
      </c>
      <c r="J140" s="26" t="s">
        <v>46</v>
      </c>
      <c r="M140" s="26" t="s">
        <v>46</v>
      </c>
      <c r="P140" s="30" t="s">
        <v>165</v>
      </c>
      <c r="R140" s="118" t="s">
        <v>667</v>
      </c>
      <c r="S140" s="113" t="s">
        <v>37</v>
      </c>
      <c r="T140" s="118" t="s">
        <v>668</v>
      </c>
      <c r="U140" s="113" t="s">
        <v>37</v>
      </c>
      <c r="V140" s="10" t="s">
        <v>37</v>
      </c>
      <c r="X140" s="26" t="s">
        <v>49</v>
      </c>
      <c r="Z140" s="7" t="s">
        <v>157</v>
      </c>
      <c r="AA140" s="30" t="s">
        <v>76</v>
      </c>
      <c r="AM140" s="10" t="s">
        <v>621</v>
      </c>
    </row>
    <row r="141" spans="3:39" ht="11.7" x14ac:dyDescent="0.35">
      <c r="C141" s="19" t="s">
        <v>246</v>
      </c>
      <c r="D141" s="30" t="s">
        <v>37</v>
      </c>
      <c r="F141" s="19" t="s">
        <v>280</v>
      </c>
      <c r="G141" s="30" t="s">
        <v>37</v>
      </c>
      <c r="J141" s="26" t="s">
        <v>32</v>
      </c>
      <c r="M141" s="26" t="s">
        <v>32</v>
      </c>
      <c r="P141" s="30" t="s">
        <v>78</v>
      </c>
      <c r="R141" s="118" t="s">
        <v>669</v>
      </c>
      <c r="S141" s="113" t="s">
        <v>38</v>
      </c>
      <c r="T141" s="118" t="s">
        <v>670</v>
      </c>
      <c r="U141" s="113" t="s">
        <v>38</v>
      </c>
      <c r="V141" s="10" t="s">
        <v>38</v>
      </c>
      <c r="X141" s="26" t="s">
        <v>50</v>
      </c>
      <c r="Z141" s="10" t="s">
        <v>232</v>
      </c>
      <c r="AA141" s="30" t="s">
        <v>28</v>
      </c>
      <c r="AM141" s="10" t="s">
        <v>38</v>
      </c>
    </row>
    <row r="142" spans="3:39" ht="11.7" x14ac:dyDescent="0.35">
      <c r="C142" s="19" t="s">
        <v>247</v>
      </c>
      <c r="D142" s="30" t="s">
        <v>38</v>
      </c>
      <c r="F142" s="19" t="s">
        <v>281</v>
      </c>
      <c r="G142" s="30" t="s">
        <v>38</v>
      </c>
      <c r="J142" s="26" t="s">
        <v>24</v>
      </c>
      <c r="M142" s="26" t="s">
        <v>24</v>
      </c>
      <c r="P142" s="30" t="s">
        <v>30</v>
      </c>
      <c r="R142" s="118" t="s">
        <v>671</v>
      </c>
      <c r="S142" s="113" t="s">
        <v>32</v>
      </c>
      <c r="T142" s="118" t="s">
        <v>671</v>
      </c>
      <c r="U142" s="113" t="s">
        <v>32</v>
      </c>
      <c r="V142" s="10" t="s">
        <v>32</v>
      </c>
      <c r="X142" s="26" t="s">
        <v>32</v>
      </c>
      <c r="Z142" s="10" t="s">
        <v>208</v>
      </c>
      <c r="AA142" s="30" t="s">
        <v>29</v>
      </c>
      <c r="AM142" s="10" t="s">
        <v>68</v>
      </c>
    </row>
    <row r="143" spans="3:39" ht="11.7" x14ac:dyDescent="0.35">
      <c r="C143" s="19" t="s">
        <v>248</v>
      </c>
      <c r="D143" s="30" t="s">
        <v>32</v>
      </c>
      <c r="F143" s="19" t="s">
        <v>282</v>
      </c>
      <c r="G143" s="30" t="s">
        <v>32</v>
      </c>
      <c r="J143" s="26" t="s">
        <v>40</v>
      </c>
      <c r="M143" s="26" t="s">
        <v>40</v>
      </c>
      <c r="P143" s="30" t="s">
        <v>38</v>
      </c>
      <c r="R143" s="118" t="s">
        <v>672</v>
      </c>
      <c r="S143" s="113" t="s">
        <v>39</v>
      </c>
      <c r="T143" s="118" t="s">
        <v>672</v>
      </c>
      <c r="U143" s="113" t="s">
        <v>39</v>
      </c>
      <c r="V143" s="10" t="s">
        <v>39</v>
      </c>
      <c r="X143" s="26" t="s">
        <v>39</v>
      </c>
      <c r="Z143" s="10" t="s">
        <v>209</v>
      </c>
      <c r="AA143" s="30" t="s">
        <v>30</v>
      </c>
      <c r="AM143" s="10" t="s">
        <v>622</v>
      </c>
    </row>
    <row r="144" spans="3:39" ht="11.7" x14ac:dyDescent="0.35">
      <c r="C144" s="19" t="s">
        <v>212</v>
      </c>
      <c r="D144" s="30" t="s">
        <v>39</v>
      </c>
      <c r="F144" s="19" t="s">
        <v>212</v>
      </c>
      <c r="G144" s="30" t="s">
        <v>39</v>
      </c>
      <c r="J144" s="26" t="s">
        <v>30</v>
      </c>
      <c r="M144" s="26" t="s">
        <v>30</v>
      </c>
      <c r="P144" s="30" t="s">
        <v>32</v>
      </c>
      <c r="R144" s="128" t="s">
        <v>673</v>
      </c>
      <c r="S144" s="113" t="s">
        <v>46</v>
      </c>
      <c r="T144" s="128" t="s">
        <v>674</v>
      </c>
      <c r="U144" s="113" t="s">
        <v>46</v>
      </c>
      <c r="V144" s="10" t="s">
        <v>46</v>
      </c>
      <c r="X144" s="26" t="s">
        <v>32</v>
      </c>
      <c r="Z144" s="10" t="s">
        <v>233</v>
      </c>
      <c r="AA144" s="30" t="s">
        <v>31</v>
      </c>
      <c r="AM144" s="10" t="s">
        <v>46</v>
      </c>
    </row>
    <row r="145" spans="3:39" ht="11.7" x14ac:dyDescent="0.35">
      <c r="C145" s="19" t="s">
        <v>226</v>
      </c>
      <c r="D145" s="30" t="s">
        <v>46</v>
      </c>
      <c r="F145" s="19" t="s">
        <v>226</v>
      </c>
      <c r="G145" s="30" t="s">
        <v>46</v>
      </c>
      <c r="J145" s="26" t="s">
        <v>49</v>
      </c>
      <c r="M145" s="26" t="s">
        <v>49</v>
      </c>
      <c r="P145" s="30" t="s">
        <v>37</v>
      </c>
      <c r="R145" s="128" t="s">
        <v>675</v>
      </c>
      <c r="S145" s="113" t="s">
        <v>32</v>
      </c>
      <c r="T145" s="128" t="s">
        <v>675</v>
      </c>
      <c r="U145" s="113" t="s">
        <v>32</v>
      </c>
      <c r="V145" s="10" t="s">
        <v>32</v>
      </c>
      <c r="X145" s="26" t="s">
        <v>24</v>
      </c>
      <c r="Z145" s="10" t="s">
        <v>234</v>
      </c>
      <c r="AA145" s="30" t="s">
        <v>32</v>
      </c>
      <c r="AM145" s="10" t="s">
        <v>68</v>
      </c>
    </row>
    <row r="146" spans="3:39" ht="11.7" x14ac:dyDescent="0.35">
      <c r="C146" s="19" t="s">
        <v>249</v>
      </c>
      <c r="D146" s="30" t="s">
        <v>32</v>
      </c>
      <c r="F146" s="19" t="s">
        <v>249</v>
      </c>
      <c r="G146" s="30" t="s">
        <v>32</v>
      </c>
      <c r="J146" s="26" t="s">
        <v>50</v>
      </c>
      <c r="M146" s="26" t="s">
        <v>50</v>
      </c>
      <c r="P146" s="30" t="s">
        <v>38</v>
      </c>
      <c r="R146" s="128" t="s">
        <v>676</v>
      </c>
      <c r="S146" s="113" t="s">
        <v>24</v>
      </c>
      <c r="T146" s="128" t="s">
        <v>676</v>
      </c>
      <c r="U146" s="113" t="s">
        <v>24</v>
      </c>
      <c r="V146" s="10" t="s">
        <v>24</v>
      </c>
      <c r="X146" s="26" t="s">
        <v>51</v>
      </c>
      <c r="Z146" s="10" t="s">
        <v>212</v>
      </c>
      <c r="AA146" s="30" t="s">
        <v>33</v>
      </c>
      <c r="AM146" s="10" t="s">
        <v>647</v>
      </c>
    </row>
    <row r="147" spans="3:39" ht="11.7" x14ac:dyDescent="0.35">
      <c r="C147" s="19" t="s">
        <v>236</v>
      </c>
      <c r="D147" s="30" t="s">
        <v>24</v>
      </c>
      <c r="F147" s="19" t="s">
        <v>236</v>
      </c>
      <c r="G147" s="30" t="s">
        <v>24</v>
      </c>
      <c r="J147" s="26" t="s">
        <v>32</v>
      </c>
      <c r="M147" s="26" t="s">
        <v>32</v>
      </c>
      <c r="P147" s="30" t="s">
        <v>32</v>
      </c>
      <c r="R147" s="118" t="s">
        <v>635</v>
      </c>
      <c r="S147" s="113" t="s">
        <v>44</v>
      </c>
      <c r="T147" s="118" t="s">
        <v>635</v>
      </c>
      <c r="U147" s="113" t="s">
        <v>44</v>
      </c>
      <c r="V147" s="10" t="s">
        <v>44</v>
      </c>
      <c r="X147" s="26" t="s">
        <v>24</v>
      </c>
      <c r="Z147" s="10" t="s">
        <v>226</v>
      </c>
      <c r="AA147" s="30" t="s">
        <v>32</v>
      </c>
      <c r="AM147" s="10" t="s">
        <v>649</v>
      </c>
    </row>
    <row r="148" spans="3:39" ht="11.7" x14ac:dyDescent="0.35">
      <c r="C148" s="19" t="s">
        <v>237</v>
      </c>
      <c r="D148" s="30" t="s">
        <v>40</v>
      </c>
      <c r="F148" s="19" t="s">
        <v>237</v>
      </c>
      <c r="G148" s="30" t="s">
        <v>40</v>
      </c>
      <c r="J148" s="26" t="s">
        <v>39</v>
      </c>
      <c r="M148" s="26" t="s">
        <v>39</v>
      </c>
      <c r="P148" s="30" t="s">
        <v>39</v>
      </c>
      <c r="R148" s="118" t="s">
        <v>647</v>
      </c>
      <c r="S148" s="113" t="s">
        <v>45</v>
      </c>
      <c r="T148" s="118" t="s">
        <v>647</v>
      </c>
      <c r="U148" s="113" t="s">
        <v>45</v>
      </c>
      <c r="V148" s="10" t="s">
        <v>45</v>
      </c>
      <c r="X148" s="26" t="s">
        <v>7</v>
      </c>
      <c r="Z148" s="10" t="s">
        <v>235</v>
      </c>
      <c r="AA148" s="30" t="s">
        <v>24</v>
      </c>
      <c r="AM148" s="10" t="s">
        <v>623</v>
      </c>
    </row>
    <row r="149" spans="3:39" ht="11.7" x14ac:dyDescent="0.35">
      <c r="C149" s="19" t="s">
        <v>216</v>
      </c>
      <c r="D149" s="30" t="s">
        <v>41</v>
      </c>
      <c r="F149" s="19" t="s">
        <v>216</v>
      </c>
      <c r="G149" s="30" t="s">
        <v>41</v>
      </c>
      <c r="J149" s="26" t="s">
        <v>32</v>
      </c>
      <c r="M149" s="26" t="s">
        <v>32</v>
      </c>
      <c r="P149" s="30" t="s">
        <v>46</v>
      </c>
      <c r="R149" s="118" t="s">
        <v>7</v>
      </c>
      <c r="S149" s="113" t="s">
        <v>552</v>
      </c>
      <c r="T149" s="118" t="s">
        <v>7</v>
      </c>
      <c r="U149" s="113" t="s">
        <v>552</v>
      </c>
      <c r="V149" s="10" t="s">
        <v>552</v>
      </c>
      <c r="X149" s="26" t="s">
        <v>176</v>
      </c>
      <c r="Z149" s="10" t="s">
        <v>236</v>
      </c>
      <c r="AA149" s="30" t="s">
        <v>34</v>
      </c>
      <c r="AM149" s="10" t="s">
        <v>620</v>
      </c>
    </row>
    <row r="150" spans="3:39" x14ac:dyDescent="0.35">
      <c r="C150" s="19" t="s">
        <v>220</v>
      </c>
      <c r="D150" s="30" t="s">
        <v>30</v>
      </c>
      <c r="F150" s="19" t="s">
        <v>220</v>
      </c>
      <c r="G150" s="30" t="s">
        <v>30</v>
      </c>
      <c r="J150" s="26" t="s">
        <v>24</v>
      </c>
      <c r="M150" s="26" t="s">
        <v>24</v>
      </c>
      <c r="P150" s="30" t="s">
        <v>32</v>
      </c>
      <c r="S150" s="113" t="s">
        <v>38</v>
      </c>
      <c r="U150" s="113" t="s">
        <v>38</v>
      </c>
      <c r="V150" s="10" t="s">
        <v>38</v>
      </c>
      <c r="X150" s="26" t="s">
        <v>177</v>
      </c>
      <c r="Z150" s="10" t="s">
        <v>237</v>
      </c>
      <c r="AA150" s="30" t="s">
        <v>35</v>
      </c>
      <c r="AM150" s="10" t="s">
        <v>38</v>
      </c>
    </row>
    <row r="151" spans="3:39" x14ac:dyDescent="0.35">
      <c r="C151" s="19" t="s">
        <v>236</v>
      </c>
      <c r="D151" s="30" t="s">
        <v>42</v>
      </c>
      <c r="F151" s="19" t="s">
        <v>236</v>
      </c>
      <c r="G151" s="30" t="s">
        <v>42</v>
      </c>
      <c r="J151" s="26" t="s">
        <v>51</v>
      </c>
      <c r="M151" s="26" t="s">
        <v>51</v>
      </c>
      <c r="P151" s="30" t="s">
        <v>24</v>
      </c>
      <c r="S151" s="113" t="s">
        <v>32</v>
      </c>
      <c r="U151" s="113" t="s">
        <v>32</v>
      </c>
      <c r="V151" s="10" t="s">
        <v>32</v>
      </c>
      <c r="X151" s="26" t="s">
        <v>54</v>
      </c>
      <c r="Z151" s="10" t="s">
        <v>216</v>
      </c>
      <c r="AA151" s="30" t="s">
        <v>30</v>
      </c>
      <c r="AM151" s="10" t="s">
        <v>68</v>
      </c>
    </row>
    <row r="152" spans="3:39" x14ac:dyDescent="0.35">
      <c r="C152" s="19" t="s">
        <v>237</v>
      </c>
      <c r="D152" s="30" t="s">
        <v>32</v>
      </c>
      <c r="F152" s="19" t="s">
        <v>237</v>
      </c>
      <c r="G152" s="30" t="s">
        <v>32</v>
      </c>
      <c r="J152" s="26" t="s">
        <v>24</v>
      </c>
      <c r="M152" s="26" t="s">
        <v>24</v>
      </c>
      <c r="P152" s="30" t="s">
        <v>40</v>
      </c>
      <c r="S152" s="113" t="s">
        <v>37</v>
      </c>
      <c r="U152" s="113" t="s">
        <v>37</v>
      </c>
      <c r="V152" s="10" t="s">
        <v>37</v>
      </c>
      <c r="X152" s="26" t="s">
        <v>24</v>
      </c>
      <c r="Z152" s="10" t="s">
        <v>220</v>
      </c>
      <c r="AA152" s="30" t="s">
        <v>36</v>
      </c>
      <c r="AM152" s="10" t="s">
        <v>621</v>
      </c>
    </row>
    <row r="153" spans="3:39" ht="11.7" thickBot="1" x14ac:dyDescent="0.4">
      <c r="C153" s="19" t="s">
        <v>216</v>
      </c>
      <c r="D153" s="30" t="s">
        <v>37</v>
      </c>
      <c r="F153" s="19" t="s">
        <v>216</v>
      </c>
      <c r="G153" s="30" t="s">
        <v>37</v>
      </c>
      <c r="J153" s="27" t="s">
        <v>7</v>
      </c>
      <c r="M153" s="27" t="s">
        <v>7</v>
      </c>
      <c r="P153" s="30" t="s">
        <v>79</v>
      </c>
      <c r="S153" s="113" t="s">
        <v>38</v>
      </c>
      <c r="U153" s="113" t="s">
        <v>38</v>
      </c>
      <c r="V153" s="10" t="s">
        <v>38</v>
      </c>
      <c r="X153" s="26" t="s">
        <v>7</v>
      </c>
      <c r="Z153" s="10" t="s">
        <v>238</v>
      </c>
      <c r="AA153" s="30" t="s">
        <v>32</v>
      </c>
      <c r="AM153" s="10" t="s">
        <v>38</v>
      </c>
    </row>
    <row r="154" spans="3:39" x14ac:dyDescent="0.35">
      <c r="C154" s="19" t="s">
        <v>220</v>
      </c>
      <c r="D154" s="30" t="s">
        <v>43</v>
      </c>
      <c r="F154" s="19" t="s">
        <v>220</v>
      </c>
      <c r="G154" s="30" t="s">
        <v>43</v>
      </c>
      <c r="J154" s="13" t="s">
        <v>13</v>
      </c>
      <c r="M154" s="13" t="s">
        <v>13</v>
      </c>
      <c r="P154" s="30" t="s">
        <v>30</v>
      </c>
      <c r="S154" s="113" t="s">
        <v>32</v>
      </c>
      <c r="U154" s="113" t="s">
        <v>32</v>
      </c>
      <c r="V154" s="10" t="s">
        <v>32</v>
      </c>
      <c r="W154" s="28" t="s">
        <v>187</v>
      </c>
      <c r="X154" s="29" t="s">
        <v>178</v>
      </c>
      <c r="Z154" s="10" t="s">
        <v>239</v>
      </c>
      <c r="AA154" s="30" t="s">
        <v>37</v>
      </c>
      <c r="AM154" s="10" t="s">
        <v>68</v>
      </c>
    </row>
    <row r="155" spans="3:39" ht="11.7" thickBot="1" x14ac:dyDescent="0.4">
      <c r="C155" s="19" t="s">
        <v>7</v>
      </c>
      <c r="D155" s="30" t="s">
        <v>32</v>
      </c>
      <c r="F155" s="19" t="s">
        <v>7</v>
      </c>
      <c r="G155" s="30" t="s">
        <v>32</v>
      </c>
      <c r="J155" s="14" t="s">
        <v>15</v>
      </c>
      <c r="M155" s="14" t="s">
        <v>15</v>
      </c>
      <c r="P155" s="30" t="s">
        <v>49</v>
      </c>
      <c r="S155" s="113" t="s">
        <v>39</v>
      </c>
      <c r="U155" s="113" t="s">
        <v>39</v>
      </c>
      <c r="V155" s="10" t="s">
        <v>39</v>
      </c>
      <c r="W155" s="7" t="s">
        <v>188</v>
      </c>
      <c r="X155" s="30" t="s">
        <v>179</v>
      </c>
      <c r="Z155" s="10" t="s">
        <v>240</v>
      </c>
      <c r="AA155" s="30" t="s">
        <v>38</v>
      </c>
      <c r="AM155" s="10" t="s">
        <v>622</v>
      </c>
    </row>
    <row r="156" spans="3:39" x14ac:dyDescent="0.35">
      <c r="D156" s="30" t="s">
        <v>39</v>
      </c>
      <c r="G156" s="30" t="s">
        <v>39</v>
      </c>
      <c r="P156" s="30" t="s">
        <v>50</v>
      </c>
      <c r="S156" s="113" t="s">
        <v>46</v>
      </c>
      <c r="U156" s="113" t="s">
        <v>46</v>
      </c>
      <c r="V156" s="10" t="s">
        <v>46</v>
      </c>
      <c r="W156" s="33" t="s">
        <v>315</v>
      </c>
      <c r="X156" s="30" t="s">
        <v>34</v>
      </c>
      <c r="Z156" s="10" t="s">
        <v>216</v>
      </c>
      <c r="AA156" s="30" t="s">
        <v>32</v>
      </c>
      <c r="AM156" s="10" t="s">
        <v>46</v>
      </c>
    </row>
    <row r="157" spans="3:39" x14ac:dyDescent="0.35">
      <c r="D157" s="30" t="s">
        <v>32</v>
      </c>
      <c r="G157" s="30" t="s">
        <v>32</v>
      </c>
      <c r="P157" s="30" t="s">
        <v>32</v>
      </c>
      <c r="R157" s="12"/>
      <c r="S157" s="113" t="s">
        <v>32</v>
      </c>
      <c r="T157" s="12"/>
      <c r="U157" s="113" t="s">
        <v>32</v>
      </c>
      <c r="V157" s="10" t="s">
        <v>32</v>
      </c>
      <c r="W157" s="33" t="s">
        <v>316</v>
      </c>
      <c r="X157" s="30" t="s">
        <v>35</v>
      </c>
      <c r="Z157" s="10" t="s">
        <v>220</v>
      </c>
      <c r="AA157" s="30" t="s">
        <v>39</v>
      </c>
      <c r="AM157" s="10" t="s">
        <v>68</v>
      </c>
    </row>
    <row r="158" spans="3:39" x14ac:dyDescent="0.35">
      <c r="D158" s="30" t="s">
        <v>24</v>
      </c>
      <c r="G158" s="30" t="s">
        <v>24</v>
      </c>
      <c r="P158" s="30" t="s">
        <v>39</v>
      </c>
      <c r="R158" s="12"/>
      <c r="S158" s="113" t="s">
        <v>24</v>
      </c>
      <c r="T158" s="12"/>
      <c r="U158" s="113" t="s">
        <v>24</v>
      </c>
      <c r="V158" s="10" t="s">
        <v>24</v>
      </c>
      <c r="W158" s="10" t="s">
        <v>317</v>
      </c>
      <c r="X158" s="30" t="s">
        <v>30</v>
      </c>
      <c r="Z158" s="10" t="s">
        <v>7</v>
      </c>
      <c r="AA158" s="30" t="s">
        <v>46</v>
      </c>
      <c r="AM158" s="10" t="s">
        <v>647</v>
      </c>
    </row>
    <row r="159" spans="3:39" x14ac:dyDescent="0.35">
      <c r="D159" s="30" t="s">
        <v>44</v>
      </c>
      <c r="G159" s="30" t="s">
        <v>44</v>
      </c>
      <c r="P159" s="30" t="s">
        <v>32</v>
      </c>
      <c r="R159" s="12"/>
      <c r="S159" s="113" t="s">
        <v>47</v>
      </c>
      <c r="T159" s="12"/>
      <c r="U159" s="113" t="s">
        <v>47</v>
      </c>
      <c r="V159" s="10" t="s">
        <v>47</v>
      </c>
      <c r="W159" s="10" t="s">
        <v>318</v>
      </c>
      <c r="X159" s="30" t="s">
        <v>36</v>
      </c>
      <c r="AA159" s="30" t="s">
        <v>32</v>
      </c>
      <c r="AM159" s="10" t="s">
        <v>650</v>
      </c>
    </row>
    <row r="160" spans="3:39" x14ac:dyDescent="0.35">
      <c r="D160" s="30" t="s">
        <v>45</v>
      </c>
      <c r="G160" s="30" t="s">
        <v>45</v>
      </c>
      <c r="P160" s="30" t="s">
        <v>24</v>
      </c>
      <c r="R160" s="12"/>
      <c r="S160" s="113" t="s">
        <v>48</v>
      </c>
      <c r="T160" s="12"/>
      <c r="U160" s="113" t="s">
        <v>48</v>
      </c>
      <c r="V160" s="10" t="s">
        <v>48</v>
      </c>
      <c r="W160" s="10" t="s">
        <v>319</v>
      </c>
      <c r="X160" s="30" t="s">
        <v>32</v>
      </c>
      <c r="AA160" s="30" t="s">
        <v>24</v>
      </c>
      <c r="AM160" s="10" t="s">
        <v>625</v>
      </c>
    </row>
    <row r="161" spans="4:39" x14ac:dyDescent="0.35">
      <c r="D161" s="30" t="s">
        <v>30</v>
      </c>
      <c r="G161" s="30" t="s">
        <v>30</v>
      </c>
      <c r="P161" s="30" t="s">
        <v>51</v>
      </c>
      <c r="R161" s="12"/>
      <c r="S161" s="113" t="s">
        <v>30</v>
      </c>
      <c r="T161" s="12"/>
      <c r="U161" s="113" t="s">
        <v>30</v>
      </c>
      <c r="V161" s="10" t="s">
        <v>30</v>
      </c>
      <c r="W161" s="10" t="s">
        <v>242</v>
      </c>
      <c r="X161" s="30" t="s">
        <v>37</v>
      </c>
      <c r="AA161" s="30" t="s">
        <v>40</v>
      </c>
      <c r="AM161" s="10" t="s">
        <v>620</v>
      </c>
    </row>
    <row r="162" spans="4:39" x14ac:dyDescent="0.35">
      <c r="D162" s="30" t="s">
        <v>38</v>
      </c>
      <c r="G162" s="30" t="s">
        <v>38</v>
      </c>
      <c r="P162" s="30" t="s">
        <v>24</v>
      </c>
      <c r="R162" s="12"/>
      <c r="S162" s="113" t="s">
        <v>49</v>
      </c>
      <c r="T162" s="12"/>
      <c r="U162" s="113" t="s">
        <v>49</v>
      </c>
      <c r="V162" s="10" t="s">
        <v>49</v>
      </c>
      <c r="W162" s="10" t="s">
        <v>320</v>
      </c>
      <c r="X162" s="30" t="s">
        <v>38</v>
      </c>
      <c r="AA162" s="30" t="s">
        <v>41</v>
      </c>
      <c r="AM162" s="10" t="s">
        <v>49</v>
      </c>
    </row>
    <row r="163" spans="4:39" ht="11.7" thickBot="1" x14ac:dyDescent="0.4">
      <c r="D163" s="30" t="s">
        <v>32</v>
      </c>
      <c r="G163" s="30" t="s">
        <v>32</v>
      </c>
      <c r="P163" s="34" t="s">
        <v>7</v>
      </c>
      <c r="R163" s="12"/>
      <c r="S163" s="113" t="s">
        <v>50</v>
      </c>
      <c r="T163" s="12"/>
      <c r="U163" s="113" t="s">
        <v>50</v>
      </c>
      <c r="V163" s="10" t="s">
        <v>50</v>
      </c>
      <c r="W163" s="10" t="s">
        <v>321</v>
      </c>
      <c r="X163" s="30" t="s">
        <v>32</v>
      </c>
      <c r="AA163" s="30" t="s">
        <v>30</v>
      </c>
      <c r="AM163" s="10" t="s">
        <v>50</v>
      </c>
    </row>
    <row r="164" spans="4:39" x14ac:dyDescent="0.35">
      <c r="D164" s="30" t="s">
        <v>37</v>
      </c>
      <c r="G164" s="30" t="s">
        <v>37</v>
      </c>
      <c r="P164" s="11" t="s">
        <v>13</v>
      </c>
      <c r="R164" s="12"/>
      <c r="S164" s="113" t="s">
        <v>32</v>
      </c>
      <c r="T164" s="12"/>
      <c r="U164" s="113" t="s">
        <v>32</v>
      </c>
      <c r="V164" s="10" t="s">
        <v>32</v>
      </c>
      <c r="W164" s="10" t="s">
        <v>322</v>
      </c>
      <c r="X164" s="30" t="s">
        <v>39</v>
      </c>
      <c r="AA164" s="30" t="s">
        <v>42</v>
      </c>
      <c r="AM164" s="10" t="s">
        <v>68</v>
      </c>
    </row>
    <row r="165" spans="4:39" ht="11.7" thickBot="1" x14ac:dyDescent="0.4">
      <c r="D165" s="30" t="s">
        <v>38</v>
      </c>
      <c r="G165" s="30" t="s">
        <v>38</v>
      </c>
      <c r="P165" s="14" t="s">
        <v>137</v>
      </c>
      <c r="R165" s="12"/>
      <c r="S165" s="113" t="s">
        <v>39</v>
      </c>
      <c r="T165" s="12"/>
      <c r="U165" s="113" t="s">
        <v>39</v>
      </c>
      <c r="V165" s="10" t="s">
        <v>39</v>
      </c>
      <c r="W165" s="10" t="s">
        <v>293</v>
      </c>
      <c r="X165" s="30" t="s">
        <v>46</v>
      </c>
      <c r="AA165" s="30" t="s">
        <v>32</v>
      </c>
      <c r="AM165" s="10" t="s">
        <v>622</v>
      </c>
    </row>
    <row r="166" spans="4:39" x14ac:dyDescent="0.35">
      <c r="D166" s="30" t="s">
        <v>32</v>
      </c>
      <c r="G166" s="30" t="s">
        <v>32</v>
      </c>
      <c r="R166" s="12"/>
      <c r="S166" s="113" t="s">
        <v>32</v>
      </c>
      <c r="T166" s="12"/>
      <c r="U166" s="113" t="s">
        <v>32</v>
      </c>
      <c r="V166" s="10" t="s">
        <v>32</v>
      </c>
      <c r="W166" s="10" t="s">
        <v>212</v>
      </c>
      <c r="X166" s="30" t="s">
        <v>32</v>
      </c>
      <c r="AA166" s="30" t="s">
        <v>37</v>
      </c>
      <c r="AM166" s="10" t="s">
        <v>68</v>
      </c>
    </row>
    <row r="167" spans="4:39" x14ac:dyDescent="0.35">
      <c r="D167" s="30" t="s">
        <v>39</v>
      </c>
      <c r="G167" s="30" t="s">
        <v>39</v>
      </c>
      <c r="R167" s="12"/>
      <c r="S167" s="113" t="s">
        <v>24</v>
      </c>
      <c r="T167" s="12"/>
      <c r="U167" s="113" t="s">
        <v>24</v>
      </c>
      <c r="V167" s="10" t="s">
        <v>24</v>
      </c>
      <c r="W167" s="10" t="s">
        <v>226</v>
      </c>
      <c r="X167" s="30" t="s">
        <v>24</v>
      </c>
      <c r="AA167" s="30" t="s">
        <v>43</v>
      </c>
      <c r="AM167" s="10" t="s">
        <v>647</v>
      </c>
    </row>
    <row r="168" spans="4:39" x14ac:dyDescent="0.35">
      <c r="D168" s="30" t="s">
        <v>46</v>
      </c>
      <c r="G168" s="30" t="s">
        <v>46</v>
      </c>
      <c r="R168" s="12"/>
      <c r="S168" s="113" t="s">
        <v>51</v>
      </c>
      <c r="T168" s="12"/>
      <c r="U168" s="113" t="s">
        <v>51</v>
      </c>
      <c r="V168" s="10" t="s">
        <v>51</v>
      </c>
      <c r="W168" s="33" t="s">
        <v>304</v>
      </c>
      <c r="X168" s="30" t="s">
        <v>40</v>
      </c>
      <c r="AA168" s="30" t="s">
        <v>32</v>
      </c>
      <c r="AM168" s="10" t="s">
        <v>651</v>
      </c>
    </row>
    <row r="169" spans="4:39" x14ac:dyDescent="0.35">
      <c r="D169" s="30" t="s">
        <v>32</v>
      </c>
      <c r="G169" s="30" t="s">
        <v>32</v>
      </c>
      <c r="R169" s="12"/>
      <c r="S169" s="113" t="s">
        <v>24</v>
      </c>
      <c r="T169" s="12"/>
      <c r="U169" s="113" t="s">
        <v>24</v>
      </c>
      <c r="V169" s="10" t="s">
        <v>24</v>
      </c>
      <c r="W169" s="10" t="s">
        <v>305</v>
      </c>
      <c r="X169" s="30" t="s">
        <v>41</v>
      </c>
      <c r="AA169" s="30" t="s">
        <v>39</v>
      </c>
      <c r="AM169" s="10" t="s">
        <v>647</v>
      </c>
    </row>
    <row r="170" spans="4:39" x14ac:dyDescent="0.35">
      <c r="D170" s="30" t="s">
        <v>24</v>
      </c>
      <c r="G170" s="30" t="s">
        <v>24</v>
      </c>
      <c r="R170" s="12"/>
      <c r="S170" s="113" t="s">
        <v>7</v>
      </c>
      <c r="T170" s="12"/>
      <c r="U170" s="113" t="s">
        <v>7</v>
      </c>
      <c r="V170" s="10" t="s">
        <v>7</v>
      </c>
      <c r="W170" s="10" t="s">
        <v>306</v>
      </c>
      <c r="X170" s="30" t="s">
        <v>30</v>
      </c>
      <c r="AA170" s="30" t="s">
        <v>32</v>
      </c>
      <c r="AM170" s="10" t="s">
        <v>7</v>
      </c>
    </row>
    <row r="171" spans="4:39" x14ac:dyDescent="0.35">
      <c r="D171" s="30" t="s">
        <v>47</v>
      </c>
      <c r="G171" s="30" t="s">
        <v>47</v>
      </c>
      <c r="R171" s="12"/>
      <c r="S171" s="113" t="s">
        <v>150</v>
      </c>
      <c r="T171" s="12"/>
      <c r="U171" s="113" t="s">
        <v>142</v>
      </c>
      <c r="V171" s="10" t="s">
        <v>150</v>
      </c>
      <c r="W171" s="10" t="s">
        <v>338</v>
      </c>
      <c r="X171" s="30" t="s">
        <v>42</v>
      </c>
      <c r="AA171" s="30" t="s">
        <v>24</v>
      </c>
      <c r="AM171" s="10" t="s">
        <v>150</v>
      </c>
    </row>
    <row r="172" spans="4:39" x14ac:dyDescent="0.35">
      <c r="D172" s="30" t="s">
        <v>48</v>
      </c>
      <c r="G172" s="30" t="s">
        <v>48</v>
      </c>
      <c r="R172" s="12"/>
      <c r="S172" s="113" t="s">
        <v>554</v>
      </c>
      <c r="T172" s="12"/>
      <c r="U172" s="113" t="s">
        <v>554</v>
      </c>
      <c r="V172" s="10" t="s">
        <v>554</v>
      </c>
      <c r="W172" s="10" t="s">
        <v>24</v>
      </c>
      <c r="X172" s="30" t="s">
        <v>32</v>
      </c>
      <c r="AA172" s="30" t="s">
        <v>44</v>
      </c>
      <c r="AM172" s="10" t="s">
        <v>677</v>
      </c>
    </row>
    <row r="173" spans="4:39" x14ac:dyDescent="0.35">
      <c r="D173" s="30" t="s">
        <v>30</v>
      </c>
      <c r="G173" s="30" t="s">
        <v>30</v>
      </c>
      <c r="R173" s="12"/>
      <c r="S173" s="113" t="s">
        <v>28</v>
      </c>
      <c r="T173" s="12"/>
      <c r="U173" s="113" t="s">
        <v>28</v>
      </c>
      <c r="V173" s="10" t="s">
        <v>28</v>
      </c>
      <c r="W173" s="10" t="s">
        <v>7</v>
      </c>
      <c r="X173" s="30" t="s">
        <v>37</v>
      </c>
      <c r="AA173" s="30" t="s">
        <v>45</v>
      </c>
      <c r="AM173" s="10" t="s">
        <v>653</v>
      </c>
    </row>
    <row r="174" spans="4:39" x14ac:dyDescent="0.35">
      <c r="D174" s="30" t="s">
        <v>49</v>
      </c>
      <c r="G174" s="30" t="s">
        <v>49</v>
      </c>
      <c r="R174" s="12"/>
      <c r="S174" s="113" t="s">
        <v>29</v>
      </c>
      <c r="T174" s="12"/>
      <c r="U174" s="113" t="s">
        <v>29</v>
      </c>
      <c r="V174" s="10" t="s">
        <v>29</v>
      </c>
      <c r="X174" s="30" t="s">
        <v>180</v>
      </c>
      <c r="AA174" s="30" t="s">
        <v>30</v>
      </c>
      <c r="AM174" s="10" t="s">
        <v>636</v>
      </c>
    </row>
    <row r="175" spans="4:39" x14ac:dyDescent="0.35">
      <c r="D175" s="30" t="s">
        <v>50</v>
      </c>
      <c r="G175" s="30" t="s">
        <v>50</v>
      </c>
      <c r="R175" s="12"/>
      <c r="S175" s="113" t="s">
        <v>30</v>
      </c>
      <c r="T175" s="12"/>
      <c r="U175" s="113" t="s">
        <v>30</v>
      </c>
      <c r="V175" s="10" t="s">
        <v>30</v>
      </c>
      <c r="X175" s="30" t="s">
        <v>32</v>
      </c>
      <c r="AA175" s="30" t="s">
        <v>38</v>
      </c>
      <c r="AM175" s="10" t="s">
        <v>620</v>
      </c>
    </row>
    <row r="176" spans="4:39" x14ac:dyDescent="0.35">
      <c r="D176" s="30" t="s">
        <v>32</v>
      </c>
      <c r="G176" s="30" t="s">
        <v>32</v>
      </c>
      <c r="R176" s="12"/>
      <c r="S176" s="113" t="s">
        <v>31</v>
      </c>
      <c r="T176" s="12"/>
      <c r="U176" s="113" t="s">
        <v>31</v>
      </c>
      <c r="V176" s="10" t="s">
        <v>31</v>
      </c>
      <c r="X176" s="30" t="s">
        <v>39</v>
      </c>
      <c r="AA176" s="30" t="s">
        <v>32</v>
      </c>
      <c r="AM176" s="10" t="s">
        <v>31</v>
      </c>
    </row>
    <row r="177" spans="4:39" x14ac:dyDescent="0.35">
      <c r="D177" s="30" t="s">
        <v>39</v>
      </c>
      <c r="G177" s="30" t="s">
        <v>39</v>
      </c>
      <c r="R177" s="12"/>
      <c r="S177" s="113" t="s">
        <v>32</v>
      </c>
      <c r="T177" s="12"/>
      <c r="U177" s="113" t="s">
        <v>32</v>
      </c>
      <c r="V177" s="10" t="s">
        <v>32</v>
      </c>
      <c r="X177" s="30" t="s">
        <v>32</v>
      </c>
      <c r="AA177" s="30" t="s">
        <v>37</v>
      </c>
      <c r="AM177" s="10" t="s">
        <v>68</v>
      </c>
    </row>
    <row r="178" spans="4:39" x14ac:dyDescent="0.35">
      <c r="D178" s="30" t="s">
        <v>32</v>
      </c>
      <c r="G178" s="30" t="s">
        <v>32</v>
      </c>
      <c r="R178" s="12"/>
      <c r="S178" s="113" t="s">
        <v>33</v>
      </c>
      <c r="T178" s="12"/>
      <c r="U178" s="113" t="s">
        <v>33</v>
      </c>
      <c r="V178" s="10" t="s">
        <v>33</v>
      </c>
      <c r="X178" s="30" t="s">
        <v>24</v>
      </c>
      <c r="AA178" s="30" t="s">
        <v>38</v>
      </c>
      <c r="AM178" s="10" t="s">
        <v>626</v>
      </c>
    </row>
    <row r="179" spans="4:39" x14ac:dyDescent="0.35">
      <c r="D179" s="30" t="s">
        <v>24</v>
      </c>
      <c r="G179" s="30" t="s">
        <v>24</v>
      </c>
      <c r="R179" s="12"/>
      <c r="S179" s="113" t="s">
        <v>32</v>
      </c>
      <c r="T179" s="12"/>
      <c r="U179" s="113" t="s">
        <v>32</v>
      </c>
      <c r="V179" s="10" t="s">
        <v>32</v>
      </c>
      <c r="X179" s="30" t="s">
        <v>44</v>
      </c>
      <c r="AA179" s="30" t="s">
        <v>32</v>
      </c>
      <c r="AM179" s="10" t="s">
        <v>68</v>
      </c>
    </row>
    <row r="180" spans="4:39" x14ac:dyDescent="0.35">
      <c r="D180" s="30" t="s">
        <v>51</v>
      </c>
      <c r="G180" s="30" t="s">
        <v>51</v>
      </c>
      <c r="R180" s="12"/>
      <c r="S180" s="113" t="s">
        <v>24</v>
      </c>
      <c r="T180" s="12"/>
      <c r="U180" s="113" t="s">
        <v>24</v>
      </c>
      <c r="V180" s="10" t="s">
        <v>24</v>
      </c>
      <c r="X180" s="30" t="s">
        <v>45</v>
      </c>
      <c r="AA180" s="30" t="s">
        <v>39</v>
      </c>
      <c r="AM180" s="10" t="s">
        <v>647</v>
      </c>
    </row>
    <row r="181" spans="4:39" x14ac:dyDescent="0.35">
      <c r="D181" s="30" t="s">
        <v>24</v>
      </c>
      <c r="G181" s="30" t="s">
        <v>24</v>
      </c>
      <c r="R181" s="12"/>
      <c r="S181" s="113" t="s">
        <v>34</v>
      </c>
      <c r="T181" s="12"/>
      <c r="U181" s="113" t="s">
        <v>34</v>
      </c>
      <c r="V181" s="10" t="s">
        <v>34</v>
      </c>
      <c r="X181" s="30" t="s">
        <v>30</v>
      </c>
      <c r="AA181" s="30" t="s">
        <v>46</v>
      </c>
      <c r="AM181" s="10" t="s">
        <v>645</v>
      </c>
    </row>
    <row r="182" spans="4:39" x14ac:dyDescent="0.35">
      <c r="D182" s="30" t="s">
        <v>7</v>
      </c>
      <c r="G182" s="30" t="s">
        <v>7</v>
      </c>
      <c r="R182" s="12"/>
      <c r="S182" s="113" t="s">
        <v>88</v>
      </c>
      <c r="T182" s="12"/>
      <c r="U182" s="113" t="s">
        <v>88</v>
      </c>
      <c r="V182" s="10" t="s">
        <v>88</v>
      </c>
      <c r="X182" s="30" t="s">
        <v>38</v>
      </c>
      <c r="AA182" s="30" t="s">
        <v>32</v>
      </c>
      <c r="AM182" s="10" t="s">
        <v>637</v>
      </c>
    </row>
    <row r="183" spans="4:39" x14ac:dyDescent="0.35">
      <c r="D183" s="30" t="s">
        <v>74</v>
      </c>
      <c r="G183" s="30" t="s">
        <v>96</v>
      </c>
      <c r="R183" s="12"/>
      <c r="S183" s="113" t="s">
        <v>30</v>
      </c>
      <c r="T183" s="12"/>
      <c r="U183" s="113" t="s">
        <v>30</v>
      </c>
      <c r="V183" s="10" t="s">
        <v>30</v>
      </c>
      <c r="X183" s="30" t="s">
        <v>32</v>
      </c>
      <c r="AA183" s="30" t="s">
        <v>24</v>
      </c>
      <c r="AM183" s="10" t="s">
        <v>620</v>
      </c>
    </row>
    <row r="184" spans="4:39" x14ac:dyDescent="0.35">
      <c r="D184" s="30" t="s">
        <v>77</v>
      </c>
      <c r="G184" s="30" t="s">
        <v>77</v>
      </c>
      <c r="R184" s="12"/>
      <c r="S184" s="113" t="s">
        <v>38</v>
      </c>
      <c r="T184" s="12"/>
      <c r="U184" s="113" t="s">
        <v>38</v>
      </c>
      <c r="V184" s="10" t="s">
        <v>38</v>
      </c>
      <c r="X184" s="30" t="s">
        <v>37</v>
      </c>
      <c r="AA184" s="30" t="s">
        <v>47</v>
      </c>
      <c r="AM184" s="10" t="s">
        <v>38</v>
      </c>
    </row>
    <row r="185" spans="4:39" x14ac:dyDescent="0.35">
      <c r="D185" s="30" t="s">
        <v>28</v>
      </c>
      <c r="G185" s="30" t="s">
        <v>28</v>
      </c>
      <c r="R185" s="12"/>
      <c r="S185" s="113" t="s">
        <v>32</v>
      </c>
      <c r="T185" s="12"/>
      <c r="U185" s="113" t="s">
        <v>32</v>
      </c>
      <c r="V185" s="10" t="s">
        <v>32</v>
      </c>
      <c r="X185" s="30" t="s">
        <v>38</v>
      </c>
      <c r="AA185" s="30" t="s">
        <v>48</v>
      </c>
      <c r="AM185" s="10" t="s">
        <v>68</v>
      </c>
    </row>
    <row r="186" spans="4:39" x14ac:dyDescent="0.35">
      <c r="D186" s="30" t="s">
        <v>29</v>
      </c>
      <c r="G186" s="30" t="s">
        <v>29</v>
      </c>
      <c r="R186" s="12"/>
      <c r="S186" s="113" t="s">
        <v>37</v>
      </c>
      <c r="T186" s="12"/>
      <c r="U186" s="113" t="s">
        <v>37</v>
      </c>
      <c r="V186" s="10" t="s">
        <v>37</v>
      </c>
      <c r="X186" s="30" t="s">
        <v>32</v>
      </c>
      <c r="AA186" s="30" t="s">
        <v>30</v>
      </c>
      <c r="AM186" s="10" t="s">
        <v>621</v>
      </c>
    </row>
    <row r="187" spans="4:39" x14ac:dyDescent="0.35">
      <c r="D187" s="30" t="s">
        <v>30</v>
      </c>
      <c r="G187" s="30" t="s">
        <v>30</v>
      </c>
      <c r="R187" s="12"/>
      <c r="S187" s="113" t="s">
        <v>38</v>
      </c>
      <c r="T187" s="12"/>
      <c r="U187" s="113" t="s">
        <v>38</v>
      </c>
      <c r="V187" s="10" t="s">
        <v>38</v>
      </c>
      <c r="X187" s="30" t="s">
        <v>39</v>
      </c>
      <c r="AA187" s="30" t="s">
        <v>49</v>
      </c>
      <c r="AM187" s="10" t="s">
        <v>38</v>
      </c>
    </row>
    <row r="188" spans="4:39" x14ac:dyDescent="0.35">
      <c r="D188" s="30" t="s">
        <v>31</v>
      </c>
      <c r="G188" s="30" t="s">
        <v>31</v>
      </c>
      <c r="R188" s="12"/>
      <c r="S188" s="113" t="s">
        <v>32</v>
      </c>
      <c r="T188" s="12"/>
      <c r="U188" s="113" t="s">
        <v>32</v>
      </c>
      <c r="V188" s="10" t="s">
        <v>32</v>
      </c>
      <c r="X188" s="30" t="s">
        <v>46</v>
      </c>
      <c r="AA188" s="30" t="s">
        <v>50</v>
      </c>
      <c r="AM188" s="10" t="s">
        <v>68</v>
      </c>
    </row>
    <row r="189" spans="4:39" x14ac:dyDescent="0.35">
      <c r="D189" s="30" t="s">
        <v>32</v>
      </c>
      <c r="G189" s="30" t="s">
        <v>32</v>
      </c>
      <c r="R189" s="12"/>
      <c r="S189" s="113" t="s">
        <v>39</v>
      </c>
      <c r="T189" s="12"/>
      <c r="U189" s="113" t="s">
        <v>39</v>
      </c>
      <c r="V189" s="10" t="s">
        <v>39</v>
      </c>
      <c r="X189" s="30" t="s">
        <v>32</v>
      </c>
      <c r="AA189" s="30" t="s">
        <v>32</v>
      </c>
      <c r="AM189" s="10" t="s">
        <v>622</v>
      </c>
    </row>
    <row r="190" spans="4:39" x14ac:dyDescent="0.35">
      <c r="D190" s="30" t="s">
        <v>33</v>
      </c>
      <c r="G190" s="30" t="s">
        <v>33</v>
      </c>
      <c r="R190" s="12"/>
      <c r="S190" s="113" t="s">
        <v>46</v>
      </c>
      <c r="T190" s="12"/>
      <c r="U190" s="113" t="s">
        <v>46</v>
      </c>
      <c r="V190" s="10" t="s">
        <v>46</v>
      </c>
      <c r="X190" s="30" t="s">
        <v>24</v>
      </c>
      <c r="AA190" s="30" t="s">
        <v>39</v>
      </c>
      <c r="AM190" s="10" t="s">
        <v>46</v>
      </c>
    </row>
    <row r="191" spans="4:39" x14ac:dyDescent="0.35">
      <c r="D191" s="30" t="s">
        <v>32</v>
      </c>
      <c r="G191" s="30" t="s">
        <v>32</v>
      </c>
      <c r="R191" s="12"/>
      <c r="S191" s="113" t="s">
        <v>555</v>
      </c>
      <c r="T191" s="12"/>
      <c r="U191" s="113" t="s">
        <v>555</v>
      </c>
      <c r="V191" s="10" t="s">
        <v>555</v>
      </c>
      <c r="X191" s="30" t="s">
        <v>47</v>
      </c>
      <c r="AA191" s="30" t="s">
        <v>32</v>
      </c>
      <c r="AM191" s="10" t="s">
        <v>68</v>
      </c>
    </row>
    <row r="192" spans="4:39" x14ac:dyDescent="0.35">
      <c r="D192" s="30" t="s">
        <v>24</v>
      </c>
      <c r="G192" s="30" t="s">
        <v>24</v>
      </c>
      <c r="R192" s="12"/>
      <c r="S192" s="113" t="s">
        <v>24</v>
      </c>
      <c r="T192" s="12"/>
      <c r="U192" s="113" t="s">
        <v>24</v>
      </c>
      <c r="V192" s="10" t="s">
        <v>24</v>
      </c>
      <c r="X192" s="30" t="s">
        <v>181</v>
      </c>
      <c r="AA192" s="30" t="s">
        <v>24</v>
      </c>
      <c r="AM192" s="10" t="s">
        <v>647</v>
      </c>
    </row>
    <row r="193" spans="4:39" x14ac:dyDescent="0.35">
      <c r="D193" s="30" t="s">
        <v>34</v>
      </c>
      <c r="G193" s="30" t="s">
        <v>34</v>
      </c>
      <c r="R193" s="12"/>
      <c r="S193" s="113" t="s">
        <v>40</v>
      </c>
      <c r="T193" s="12"/>
      <c r="U193" s="113" t="s">
        <v>40</v>
      </c>
      <c r="V193" s="10" t="s">
        <v>40</v>
      </c>
      <c r="X193" s="30" t="s">
        <v>30</v>
      </c>
      <c r="AA193" s="30" t="s">
        <v>51</v>
      </c>
      <c r="AM193" s="10" t="s">
        <v>654</v>
      </c>
    </row>
    <row r="194" spans="4:39" x14ac:dyDescent="0.35">
      <c r="D194" s="30" t="s">
        <v>78</v>
      </c>
      <c r="G194" s="30" t="s">
        <v>78</v>
      </c>
      <c r="R194" s="12"/>
      <c r="S194" s="113" t="s">
        <v>89</v>
      </c>
      <c r="T194" s="12"/>
      <c r="U194" s="113" t="s">
        <v>89</v>
      </c>
      <c r="V194" s="10" t="s">
        <v>89</v>
      </c>
      <c r="X194" s="30" t="s">
        <v>182</v>
      </c>
      <c r="AA194" s="30" t="s">
        <v>24</v>
      </c>
      <c r="AM194" s="10" t="s">
        <v>638</v>
      </c>
    </row>
    <row r="195" spans="4:39" x14ac:dyDescent="0.35">
      <c r="D195" s="30" t="s">
        <v>30</v>
      </c>
      <c r="G195" s="30" t="s">
        <v>30</v>
      </c>
      <c r="R195" s="12"/>
      <c r="S195" s="113" t="s">
        <v>30</v>
      </c>
      <c r="T195" s="12"/>
      <c r="U195" s="113" t="s">
        <v>30</v>
      </c>
      <c r="V195" s="10" t="s">
        <v>30</v>
      </c>
      <c r="X195" s="30" t="s">
        <v>32</v>
      </c>
      <c r="AA195" s="30" t="s">
        <v>7</v>
      </c>
      <c r="AM195" s="10" t="s">
        <v>620</v>
      </c>
    </row>
    <row r="196" spans="4:39" x14ac:dyDescent="0.35">
      <c r="D196" s="30" t="s">
        <v>38</v>
      </c>
      <c r="G196" s="30" t="s">
        <v>38</v>
      </c>
      <c r="R196" s="12"/>
      <c r="S196" s="113" t="s">
        <v>49</v>
      </c>
      <c r="T196" s="12"/>
      <c r="U196" s="113" t="s">
        <v>49</v>
      </c>
      <c r="V196" s="10" t="s">
        <v>49</v>
      </c>
      <c r="X196" s="30" t="s">
        <v>39</v>
      </c>
      <c r="AA196" s="30" t="s">
        <v>125</v>
      </c>
      <c r="AM196" s="10" t="s">
        <v>49</v>
      </c>
    </row>
    <row r="197" spans="4:39" x14ac:dyDescent="0.35">
      <c r="D197" s="30" t="s">
        <v>32</v>
      </c>
      <c r="G197" s="30" t="s">
        <v>32</v>
      </c>
      <c r="R197" s="12"/>
      <c r="S197" s="113" t="s">
        <v>50</v>
      </c>
      <c r="T197" s="12"/>
      <c r="U197" s="113" t="s">
        <v>50</v>
      </c>
      <c r="V197" s="10" t="s">
        <v>50</v>
      </c>
      <c r="X197" s="30" t="s">
        <v>32</v>
      </c>
      <c r="AA197" s="30" t="s">
        <v>126</v>
      </c>
      <c r="AM197" s="10" t="s">
        <v>50</v>
      </c>
    </row>
    <row r="198" spans="4:39" x14ac:dyDescent="0.35">
      <c r="D198" s="30" t="s">
        <v>37</v>
      </c>
      <c r="G198" s="30" t="s">
        <v>37</v>
      </c>
      <c r="R198" s="12"/>
      <c r="S198" s="113" t="s">
        <v>32</v>
      </c>
      <c r="T198" s="12"/>
      <c r="U198" s="113" t="s">
        <v>32</v>
      </c>
      <c r="V198" s="10" t="s">
        <v>32</v>
      </c>
      <c r="X198" s="30" t="s">
        <v>24</v>
      </c>
      <c r="AA198" s="30" t="s">
        <v>54</v>
      </c>
      <c r="AM198" s="10" t="s">
        <v>68</v>
      </c>
    </row>
    <row r="199" spans="4:39" x14ac:dyDescent="0.35">
      <c r="D199" s="30" t="s">
        <v>38</v>
      </c>
      <c r="G199" s="30" t="s">
        <v>38</v>
      </c>
      <c r="R199" s="12"/>
      <c r="S199" s="113" t="s">
        <v>39</v>
      </c>
      <c r="T199" s="12"/>
      <c r="U199" s="113" t="s">
        <v>39</v>
      </c>
      <c r="V199" s="10" t="s">
        <v>39</v>
      </c>
      <c r="X199" s="30" t="s">
        <v>51</v>
      </c>
      <c r="AA199" s="30" t="s">
        <v>24</v>
      </c>
      <c r="AM199" s="10" t="s">
        <v>622</v>
      </c>
    </row>
    <row r="200" spans="4:39" ht="11.7" thickBot="1" x14ac:dyDescent="0.4">
      <c r="D200" s="30" t="s">
        <v>32</v>
      </c>
      <c r="G200" s="30" t="s">
        <v>32</v>
      </c>
      <c r="R200" s="12"/>
      <c r="S200" s="113" t="s">
        <v>32</v>
      </c>
      <c r="T200" s="12"/>
      <c r="U200" s="113" t="s">
        <v>32</v>
      </c>
      <c r="V200" s="10" t="s">
        <v>32</v>
      </c>
      <c r="X200" s="30" t="s">
        <v>24</v>
      </c>
      <c r="AA200" s="30" t="s">
        <v>7</v>
      </c>
      <c r="AM200" s="10" t="s">
        <v>68</v>
      </c>
    </row>
    <row r="201" spans="4:39" x14ac:dyDescent="0.35">
      <c r="D201" s="30" t="s">
        <v>39</v>
      </c>
      <c r="G201" s="30" t="s">
        <v>39</v>
      </c>
      <c r="R201" s="12"/>
      <c r="S201" s="113" t="s">
        <v>24</v>
      </c>
      <c r="T201" s="12"/>
      <c r="U201" s="113" t="s">
        <v>24</v>
      </c>
      <c r="V201" s="10" t="s">
        <v>24</v>
      </c>
      <c r="X201" s="30" t="s">
        <v>7</v>
      </c>
      <c r="Z201" s="35" t="s">
        <v>201</v>
      </c>
      <c r="AA201" s="37" t="s">
        <v>112</v>
      </c>
      <c r="AM201" s="10" t="s">
        <v>647</v>
      </c>
    </row>
    <row r="202" spans="4:39" x14ac:dyDescent="0.35">
      <c r="D202" s="30" t="s">
        <v>46</v>
      </c>
      <c r="G202" s="30" t="s">
        <v>46</v>
      </c>
      <c r="R202" s="12"/>
      <c r="S202" s="113" t="s">
        <v>51</v>
      </c>
      <c r="T202" s="12"/>
      <c r="U202" s="113" t="s">
        <v>51</v>
      </c>
      <c r="V202" s="10" t="s">
        <v>51</v>
      </c>
      <c r="X202" s="30" t="s">
        <v>183</v>
      </c>
      <c r="Z202" s="7" t="s">
        <v>156</v>
      </c>
      <c r="AA202" s="36" t="s">
        <v>113</v>
      </c>
      <c r="AM202" s="10" t="s">
        <v>651</v>
      </c>
    </row>
    <row r="203" spans="4:39" x14ac:dyDescent="0.35">
      <c r="D203" s="30" t="s">
        <v>32</v>
      </c>
      <c r="G203" s="30" t="s">
        <v>32</v>
      </c>
      <c r="R203" s="12"/>
      <c r="S203" s="113" t="s">
        <v>24</v>
      </c>
      <c r="T203" s="12"/>
      <c r="U203" s="113" t="s">
        <v>24</v>
      </c>
      <c r="V203" s="10" t="s">
        <v>24</v>
      </c>
      <c r="X203" s="30" t="s">
        <v>184</v>
      </c>
      <c r="Z203" s="10" t="s">
        <v>221</v>
      </c>
      <c r="AA203" s="36" t="s">
        <v>34</v>
      </c>
      <c r="AM203" s="10" t="s">
        <v>647</v>
      </c>
    </row>
    <row r="204" spans="4:39" ht="11.7" thickBot="1" x14ac:dyDescent="0.4">
      <c r="D204" s="30" t="s">
        <v>24</v>
      </c>
      <c r="G204" s="30" t="s">
        <v>24</v>
      </c>
      <c r="R204" s="12"/>
      <c r="S204" s="114" t="s">
        <v>7</v>
      </c>
      <c r="T204" s="12"/>
      <c r="U204" s="114" t="s">
        <v>7</v>
      </c>
      <c r="V204" s="10" t="s">
        <v>7</v>
      </c>
      <c r="X204" s="30" t="s">
        <v>28</v>
      </c>
      <c r="Z204" s="10" t="s">
        <v>208</v>
      </c>
      <c r="AA204" s="36" t="s">
        <v>35</v>
      </c>
      <c r="AM204" s="10" t="s">
        <v>7</v>
      </c>
    </row>
    <row r="205" spans="4:39" x14ac:dyDescent="0.35">
      <c r="D205" s="30" t="s">
        <v>40</v>
      </c>
      <c r="G205" s="30" t="s">
        <v>40</v>
      </c>
      <c r="R205" s="12"/>
      <c r="S205" s="115" t="s">
        <v>75</v>
      </c>
      <c r="T205" s="12"/>
      <c r="U205" s="115" t="s">
        <v>95</v>
      </c>
      <c r="V205" s="10" t="s">
        <v>75</v>
      </c>
      <c r="X205" s="30" t="s">
        <v>29</v>
      </c>
      <c r="Z205" s="10" t="s">
        <v>209</v>
      </c>
      <c r="AA205" s="36" t="s">
        <v>30</v>
      </c>
      <c r="AM205" s="10" t="s">
        <v>75</v>
      </c>
    </row>
    <row r="206" spans="4:39" x14ac:dyDescent="0.35">
      <c r="D206" s="30" t="s">
        <v>79</v>
      </c>
      <c r="G206" s="30" t="s">
        <v>79</v>
      </c>
      <c r="R206" s="35" t="s">
        <v>457</v>
      </c>
      <c r="S206" s="116" t="s">
        <v>556</v>
      </c>
      <c r="T206" s="35" t="s">
        <v>457</v>
      </c>
      <c r="U206" s="116" t="s">
        <v>556</v>
      </c>
      <c r="V206" s="10" t="s">
        <v>556</v>
      </c>
      <c r="X206" s="30" t="s">
        <v>30</v>
      </c>
      <c r="Z206" s="10" t="s">
        <v>337</v>
      </c>
      <c r="AA206" s="36" t="s">
        <v>36</v>
      </c>
      <c r="AM206" s="10" t="s">
        <v>678</v>
      </c>
    </row>
    <row r="207" spans="4:39" x14ac:dyDescent="0.35">
      <c r="D207" s="30" t="s">
        <v>30</v>
      </c>
      <c r="G207" s="30" t="s">
        <v>30</v>
      </c>
      <c r="R207" s="122" t="s">
        <v>445</v>
      </c>
      <c r="S207" s="116" t="s">
        <v>34</v>
      </c>
      <c r="T207" s="122" t="s">
        <v>445</v>
      </c>
      <c r="U207" s="116" t="s">
        <v>34</v>
      </c>
      <c r="V207" s="10" t="s">
        <v>34</v>
      </c>
      <c r="X207" s="30" t="s">
        <v>31</v>
      </c>
      <c r="Z207" s="10" t="s">
        <v>224</v>
      </c>
      <c r="AA207" s="36" t="s">
        <v>32</v>
      </c>
      <c r="AM207" s="10" t="s">
        <v>645</v>
      </c>
    </row>
    <row r="208" spans="4:39" x14ac:dyDescent="0.35">
      <c r="D208" s="30" t="s">
        <v>49</v>
      </c>
      <c r="G208" s="30" t="s">
        <v>49</v>
      </c>
      <c r="R208" s="123" t="s">
        <v>639</v>
      </c>
      <c r="S208" s="116" t="s">
        <v>35</v>
      </c>
      <c r="T208" s="123" t="s">
        <v>639</v>
      </c>
      <c r="U208" s="116" t="s">
        <v>35</v>
      </c>
      <c r="V208" s="10" t="s">
        <v>35</v>
      </c>
      <c r="X208" s="30" t="s">
        <v>32</v>
      </c>
      <c r="Z208" s="10" t="s">
        <v>225</v>
      </c>
      <c r="AA208" s="36" t="s">
        <v>37</v>
      </c>
      <c r="AM208" s="10" t="s">
        <v>619</v>
      </c>
    </row>
    <row r="209" spans="3:39" x14ac:dyDescent="0.35">
      <c r="D209" s="30" t="s">
        <v>50</v>
      </c>
      <c r="G209" s="30" t="s">
        <v>50</v>
      </c>
      <c r="R209" s="123" t="s">
        <v>532</v>
      </c>
      <c r="S209" s="116" t="s">
        <v>30</v>
      </c>
      <c r="T209" s="123" t="s">
        <v>532</v>
      </c>
      <c r="U209" s="116" t="s">
        <v>30</v>
      </c>
      <c r="V209" s="10" t="s">
        <v>30</v>
      </c>
      <c r="X209" s="30" t="s">
        <v>33</v>
      </c>
      <c r="Z209" s="10" t="s">
        <v>212</v>
      </c>
      <c r="AA209" s="36" t="s">
        <v>38</v>
      </c>
      <c r="AM209" s="10" t="s">
        <v>620</v>
      </c>
    </row>
    <row r="210" spans="3:39" x14ac:dyDescent="0.35">
      <c r="D210" s="30" t="s">
        <v>32</v>
      </c>
      <c r="G210" s="30" t="s">
        <v>32</v>
      </c>
      <c r="R210" s="123" t="s">
        <v>519</v>
      </c>
      <c r="S210" s="116" t="s">
        <v>36</v>
      </c>
      <c r="T210" s="123" t="s">
        <v>519</v>
      </c>
      <c r="U210" s="116" t="s">
        <v>36</v>
      </c>
      <c r="V210" s="10" t="s">
        <v>36</v>
      </c>
      <c r="X210" s="30" t="s">
        <v>32</v>
      </c>
      <c r="Z210" s="10" t="s">
        <v>226</v>
      </c>
      <c r="AA210" s="36" t="s">
        <v>32</v>
      </c>
      <c r="AM210" s="10" t="s">
        <v>36</v>
      </c>
    </row>
    <row r="211" spans="3:39" x14ac:dyDescent="0.35">
      <c r="D211" s="30" t="s">
        <v>39</v>
      </c>
      <c r="G211" s="30" t="s">
        <v>39</v>
      </c>
      <c r="R211" s="123" t="s">
        <v>520</v>
      </c>
      <c r="S211" s="116" t="s">
        <v>32</v>
      </c>
      <c r="T211" s="123" t="s">
        <v>520</v>
      </c>
      <c r="U211" s="116" t="s">
        <v>32</v>
      </c>
      <c r="V211" s="10" t="s">
        <v>32</v>
      </c>
      <c r="X211" s="30" t="s">
        <v>24</v>
      </c>
      <c r="Z211" s="20" t="s">
        <v>227</v>
      </c>
      <c r="AA211" s="36" t="s">
        <v>39</v>
      </c>
      <c r="AM211" s="10" t="s">
        <v>68</v>
      </c>
    </row>
    <row r="212" spans="3:39" x14ac:dyDescent="0.35">
      <c r="D212" s="30" t="s">
        <v>32</v>
      </c>
      <c r="G212" s="30" t="s">
        <v>32</v>
      </c>
      <c r="R212" s="123" t="s">
        <v>656</v>
      </c>
      <c r="S212" s="116" t="s">
        <v>37</v>
      </c>
      <c r="T212" s="123" t="s">
        <v>656</v>
      </c>
      <c r="U212" s="116" t="s">
        <v>37</v>
      </c>
      <c r="V212" s="10" t="s">
        <v>37</v>
      </c>
      <c r="X212" s="30" t="s">
        <v>34</v>
      </c>
      <c r="Z212" s="10" t="s">
        <v>228</v>
      </c>
      <c r="AA212" s="36" t="s">
        <v>46</v>
      </c>
      <c r="AM212" s="10" t="s">
        <v>621</v>
      </c>
    </row>
    <row r="213" spans="3:39" x14ac:dyDescent="0.35">
      <c r="D213" s="30" t="s">
        <v>24</v>
      </c>
      <c r="G213" s="30" t="s">
        <v>24</v>
      </c>
      <c r="R213" s="123" t="s">
        <v>533</v>
      </c>
      <c r="S213" s="116" t="s">
        <v>38</v>
      </c>
      <c r="T213" s="123" t="s">
        <v>563</v>
      </c>
      <c r="U213" s="116" t="s">
        <v>38</v>
      </c>
      <c r="V213" s="10" t="s">
        <v>38</v>
      </c>
      <c r="X213" s="30" t="s">
        <v>88</v>
      </c>
      <c r="Z213" s="10" t="s">
        <v>229</v>
      </c>
      <c r="AA213" s="36" t="s">
        <v>32</v>
      </c>
      <c r="AM213" s="10" t="s">
        <v>38</v>
      </c>
    </row>
    <row r="214" spans="3:39" x14ac:dyDescent="0.35">
      <c r="D214" s="30" t="s">
        <v>51</v>
      </c>
      <c r="G214" s="30" t="s">
        <v>51</v>
      </c>
      <c r="R214" s="123" t="s">
        <v>534</v>
      </c>
      <c r="S214" s="116" t="s">
        <v>32</v>
      </c>
      <c r="T214" s="123" t="s">
        <v>564</v>
      </c>
      <c r="U214" s="116" t="s">
        <v>32</v>
      </c>
      <c r="V214" s="10" t="s">
        <v>32</v>
      </c>
      <c r="X214" s="30" t="s">
        <v>30</v>
      </c>
      <c r="Z214" s="10" t="s">
        <v>216</v>
      </c>
      <c r="AA214" s="36" t="s">
        <v>24</v>
      </c>
      <c r="AM214" s="10" t="s">
        <v>68</v>
      </c>
    </row>
    <row r="215" spans="3:39" x14ac:dyDescent="0.35">
      <c r="D215" s="30" t="s">
        <v>24</v>
      </c>
      <c r="G215" s="30" t="s">
        <v>24</v>
      </c>
      <c r="R215" s="123" t="s">
        <v>524</v>
      </c>
      <c r="S215" s="116" t="s">
        <v>39</v>
      </c>
      <c r="T215" s="123" t="s">
        <v>524</v>
      </c>
      <c r="U215" s="116" t="s">
        <v>39</v>
      </c>
      <c r="V215" s="10" t="s">
        <v>39</v>
      </c>
      <c r="X215" s="30" t="s">
        <v>38</v>
      </c>
      <c r="Z215" s="10" t="s">
        <v>220</v>
      </c>
      <c r="AA215" s="36" t="s">
        <v>40</v>
      </c>
      <c r="AM215" s="10" t="s">
        <v>622</v>
      </c>
    </row>
    <row r="216" spans="3:39" x14ac:dyDescent="0.35">
      <c r="D216" s="38" t="s">
        <v>7</v>
      </c>
      <c r="G216" s="38" t="s">
        <v>7</v>
      </c>
      <c r="R216" s="123" t="s">
        <v>525</v>
      </c>
      <c r="S216" s="116" t="s">
        <v>46</v>
      </c>
      <c r="T216" s="123" t="s">
        <v>525</v>
      </c>
      <c r="U216" s="116" t="s">
        <v>46</v>
      </c>
      <c r="V216" s="10" t="s">
        <v>46</v>
      </c>
      <c r="X216" s="30" t="s">
        <v>32</v>
      </c>
      <c r="Z216" s="10" t="s">
        <v>228</v>
      </c>
      <c r="AA216" s="36" t="s">
        <v>41</v>
      </c>
      <c r="AM216" s="10" t="s">
        <v>46</v>
      </c>
    </row>
    <row r="217" spans="3:39" x14ac:dyDescent="0.35">
      <c r="D217" s="39" t="s">
        <v>64</v>
      </c>
      <c r="F217" s="35" t="s">
        <v>155</v>
      </c>
      <c r="G217" s="39" t="s">
        <v>97</v>
      </c>
      <c r="R217" s="123" t="s">
        <v>451</v>
      </c>
      <c r="S217" s="116" t="s">
        <v>32</v>
      </c>
      <c r="T217" s="123" t="s">
        <v>451</v>
      </c>
      <c r="U217" s="116" t="s">
        <v>32</v>
      </c>
      <c r="V217" s="10" t="s">
        <v>32</v>
      </c>
      <c r="X217" s="30" t="s">
        <v>37</v>
      </c>
      <c r="Z217" s="10" t="s">
        <v>229</v>
      </c>
      <c r="AA217" s="36" t="s">
        <v>30</v>
      </c>
      <c r="AM217" s="10" t="s">
        <v>68</v>
      </c>
    </row>
    <row r="218" spans="3:39" x14ac:dyDescent="0.35">
      <c r="C218" s="35" t="s">
        <v>56</v>
      </c>
      <c r="D218" s="36" t="s">
        <v>65</v>
      </c>
      <c r="F218" s="7" t="s">
        <v>153</v>
      </c>
      <c r="G218" s="36" t="s">
        <v>65</v>
      </c>
      <c r="R218" s="123" t="s">
        <v>679</v>
      </c>
      <c r="S218" s="116" t="s">
        <v>24</v>
      </c>
      <c r="T218" s="123" t="s">
        <v>679</v>
      </c>
      <c r="U218" s="116" t="s">
        <v>24</v>
      </c>
      <c r="V218" s="10" t="s">
        <v>24</v>
      </c>
      <c r="X218" s="30" t="s">
        <v>38</v>
      </c>
      <c r="Z218" s="10" t="s">
        <v>216</v>
      </c>
      <c r="AA218" s="36" t="s">
        <v>42</v>
      </c>
      <c r="AM218" s="10" t="s">
        <v>647</v>
      </c>
    </row>
    <row r="219" spans="3:39" x14ac:dyDescent="0.35">
      <c r="C219" s="7" t="s">
        <v>153</v>
      </c>
      <c r="D219" s="36" t="s">
        <v>34</v>
      </c>
      <c r="F219" s="19" t="s">
        <v>206</v>
      </c>
      <c r="G219" s="36" t="s">
        <v>34</v>
      </c>
      <c r="R219" s="123" t="s">
        <v>680</v>
      </c>
      <c r="S219" s="116" t="s">
        <v>44</v>
      </c>
      <c r="T219" s="123" t="s">
        <v>680</v>
      </c>
      <c r="U219" s="116" t="s">
        <v>44</v>
      </c>
      <c r="V219" s="10" t="s">
        <v>44</v>
      </c>
      <c r="X219" s="30" t="s">
        <v>32</v>
      </c>
      <c r="Z219" s="10" t="s">
        <v>220</v>
      </c>
      <c r="AA219" s="36" t="s">
        <v>32</v>
      </c>
      <c r="AM219" s="10" t="s">
        <v>649</v>
      </c>
    </row>
    <row r="220" spans="3:39" x14ac:dyDescent="0.35">
      <c r="C220" s="10" t="s">
        <v>206</v>
      </c>
      <c r="D220" s="36" t="s">
        <v>35</v>
      </c>
      <c r="F220" s="19" t="s">
        <v>274</v>
      </c>
      <c r="G220" s="36" t="s">
        <v>35</v>
      </c>
      <c r="R220" s="123" t="s">
        <v>648</v>
      </c>
      <c r="S220" s="116" t="s">
        <v>45</v>
      </c>
      <c r="T220" s="123" t="s">
        <v>648</v>
      </c>
      <c r="U220" s="116" t="s">
        <v>45</v>
      </c>
      <c r="V220" s="10" t="s">
        <v>45</v>
      </c>
      <c r="X220" s="30" t="s">
        <v>39</v>
      </c>
      <c r="Z220" s="10" t="s">
        <v>7</v>
      </c>
      <c r="AA220" s="36" t="s">
        <v>37</v>
      </c>
      <c r="AM220" s="10" t="s">
        <v>623</v>
      </c>
    </row>
    <row r="221" spans="3:39" x14ac:dyDescent="0.35">
      <c r="C221" s="10" t="s">
        <v>241</v>
      </c>
      <c r="D221" s="36" t="s">
        <v>30</v>
      </c>
      <c r="F221" s="19" t="s">
        <v>208</v>
      </c>
      <c r="G221" s="36" t="s">
        <v>30</v>
      </c>
      <c r="R221" s="123" t="s">
        <v>7</v>
      </c>
      <c r="S221" s="116" t="s">
        <v>30</v>
      </c>
      <c r="T221" s="123" t="s">
        <v>7</v>
      </c>
      <c r="U221" s="116" t="s">
        <v>30</v>
      </c>
      <c r="V221" s="10" t="s">
        <v>30</v>
      </c>
      <c r="X221" s="30" t="s">
        <v>46</v>
      </c>
      <c r="AA221" s="36" t="s">
        <v>43</v>
      </c>
      <c r="AM221" s="10" t="s">
        <v>620</v>
      </c>
    </row>
    <row r="222" spans="3:39" x14ac:dyDescent="0.35">
      <c r="C222" s="10" t="s">
        <v>208</v>
      </c>
      <c r="D222" s="36" t="s">
        <v>36</v>
      </c>
      <c r="F222" s="19" t="s">
        <v>242</v>
      </c>
      <c r="G222" s="36" t="s">
        <v>36</v>
      </c>
      <c r="R222" s="123" t="s">
        <v>624</v>
      </c>
      <c r="S222" s="116" t="s">
        <v>38</v>
      </c>
      <c r="T222" s="123" t="s">
        <v>624</v>
      </c>
      <c r="U222" s="116" t="s">
        <v>38</v>
      </c>
      <c r="V222" s="10" t="s">
        <v>38</v>
      </c>
      <c r="X222" s="30" t="s">
        <v>32</v>
      </c>
      <c r="AA222" s="36" t="s">
        <v>32</v>
      </c>
      <c r="AM222" s="10" t="s">
        <v>38</v>
      </c>
    </row>
    <row r="223" spans="3:39" x14ac:dyDescent="0.35">
      <c r="C223" s="10" t="s">
        <v>242</v>
      </c>
      <c r="D223" s="36" t="s">
        <v>32</v>
      </c>
      <c r="F223" s="19" t="s">
        <v>275</v>
      </c>
      <c r="G223" s="36" t="s">
        <v>32</v>
      </c>
      <c r="S223" s="116" t="s">
        <v>32</v>
      </c>
      <c r="U223" s="116" t="s">
        <v>32</v>
      </c>
      <c r="V223" s="10" t="s">
        <v>32</v>
      </c>
      <c r="X223" s="30" t="s">
        <v>24</v>
      </c>
      <c r="AA223" s="36" t="s">
        <v>39</v>
      </c>
      <c r="AM223" s="10" t="s">
        <v>68</v>
      </c>
    </row>
    <row r="224" spans="3:39" x14ac:dyDescent="0.35">
      <c r="C224" s="10" t="s">
        <v>243</v>
      </c>
      <c r="D224" s="36" t="s">
        <v>37</v>
      </c>
      <c r="F224" s="19" t="s">
        <v>276</v>
      </c>
      <c r="G224" s="36" t="s">
        <v>37</v>
      </c>
      <c r="S224" s="116" t="s">
        <v>37</v>
      </c>
      <c r="U224" s="116" t="s">
        <v>37</v>
      </c>
      <c r="V224" s="10" t="s">
        <v>37</v>
      </c>
      <c r="X224" s="30" t="s">
        <v>40</v>
      </c>
      <c r="AA224" s="36" t="s">
        <v>32</v>
      </c>
      <c r="AM224" s="10" t="s">
        <v>621</v>
      </c>
    </row>
    <row r="225" spans="3:39" x14ac:dyDescent="0.35">
      <c r="C225" s="10" t="s">
        <v>244</v>
      </c>
      <c r="D225" s="36" t="s">
        <v>38</v>
      </c>
      <c r="F225" s="19" t="s">
        <v>277</v>
      </c>
      <c r="G225" s="36" t="s">
        <v>38</v>
      </c>
      <c r="S225" s="116" t="s">
        <v>38</v>
      </c>
      <c r="U225" s="116" t="s">
        <v>38</v>
      </c>
      <c r="V225" s="10" t="s">
        <v>38</v>
      </c>
      <c r="X225" s="30" t="s">
        <v>185</v>
      </c>
      <c r="AA225" s="36" t="s">
        <v>24</v>
      </c>
      <c r="AM225" s="10" t="s">
        <v>38</v>
      </c>
    </row>
    <row r="226" spans="3:39" x14ac:dyDescent="0.35">
      <c r="C226" s="10" t="s">
        <v>245</v>
      </c>
      <c r="D226" s="36" t="s">
        <v>66</v>
      </c>
      <c r="F226" s="19" t="s">
        <v>212</v>
      </c>
      <c r="G226" s="36" t="s">
        <v>66</v>
      </c>
      <c r="S226" s="116" t="s">
        <v>32</v>
      </c>
      <c r="U226" s="116" t="s">
        <v>32</v>
      </c>
      <c r="V226" s="10" t="s">
        <v>32</v>
      </c>
      <c r="X226" s="30" t="s">
        <v>30</v>
      </c>
      <c r="AA226" s="36" t="s">
        <v>44</v>
      </c>
      <c r="AM226" s="10" t="s">
        <v>68</v>
      </c>
    </row>
    <row r="227" spans="3:39" x14ac:dyDescent="0.35">
      <c r="C227" s="10" t="s">
        <v>212</v>
      </c>
      <c r="D227" s="36" t="s">
        <v>67</v>
      </c>
      <c r="F227" s="19" t="s">
        <v>213</v>
      </c>
      <c r="G227" s="36" t="s">
        <v>67</v>
      </c>
      <c r="S227" s="116" t="s">
        <v>39</v>
      </c>
      <c r="U227" s="116" t="s">
        <v>39</v>
      </c>
      <c r="V227" s="10" t="s">
        <v>39</v>
      </c>
      <c r="X227" s="30" t="s">
        <v>182</v>
      </c>
      <c r="AA227" s="36" t="s">
        <v>45</v>
      </c>
      <c r="AM227" s="10" t="s">
        <v>622</v>
      </c>
    </row>
    <row r="228" spans="3:39" x14ac:dyDescent="0.35">
      <c r="C228" s="10" t="s">
        <v>213</v>
      </c>
      <c r="D228" s="36" t="s">
        <v>46</v>
      </c>
      <c r="F228" s="19" t="s">
        <v>214</v>
      </c>
      <c r="G228" s="36" t="s">
        <v>46</v>
      </c>
      <c r="S228" s="116" t="s">
        <v>46</v>
      </c>
      <c r="U228" s="116" t="s">
        <v>46</v>
      </c>
      <c r="V228" s="10" t="s">
        <v>46</v>
      </c>
      <c r="X228" s="30" t="s">
        <v>32</v>
      </c>
      <c r="AA228" s="36" t="s">
        <v>30</v>
      </c>
      <c r="AM228" s="10" t="s">
        <v>46</v>
      </c>
    </row>
    <row r="229" spans="3:39" x14ac:dyDescent="0.35">
      <c r="C229" s="10" t="s">
        <v>218</v>
      </c>
      <c r="D229" s="36" t="s">
        <v>32</v>
      </c>
      <c r="F229" s="19" t="s">
        <v>215</v>
      </c>
      <c r="G229" s="36" t="s">
        <v>32</v>
      </c>
      <c r="S229" s="116" t="s">
        <v>32</v>
      </c>
      <c r="U229" s="116" t="s">
        <v>32</v>
      </c>
      <c r="V229" s="10" t="s">
        <v>32</v>
      </c>
      <c r="X229" s="30" t="s">
        <v>39</v>
      </c>
      <c r="AA229" s="36" t="s">
        <v>38</v>
      </c>
      <c r="AM229" s="10" t="s">
        <v>68</v>
      </c>
    </row>
    <row r="230" spans="3:39" x14ac:dyDescent="0.35">
      <c r="C230" s="10" t="s">
        <v>219</v>
      </c>
      <c r="D230" s="36" t="s">
        <v>68</v>
      </c>
      <c r="F230" s="40" t="s">
        <v>216</v>
      </c>
      <c r="G230" s="36" t="s">
        <v>68</v>
      </c>
      <c r="S230" s="116" t="s">
        <v>24</v>
      </c>
      <c r="U230" s="116" t="s">
        <v>24</v>
      </c>
      <c r="V230" s="10" t="s">
        <v>24</v>
      </c>
      <c r="X230" s="30" t="s">
        <v>32</v>
      </c>
      <c r="AA230" s="36" t="s">
        <v>32</v>
      </c>
      <c r="AM230" s="10" t="s">
        <v>647</v>
      </c>
    </row>
    <row r="231" spans="3:39" x14ac:dyDescent="0.35">
      <c r="C231" s="10" t="s">
        <v>216</v>
      </c>
      <c r="D231" s="36" t="s">
        <v>69</v>
      </c>
      <c r="F231" s="19" t="s">
        <v>220</v>
      </c>
      <c r="G231" s="36" t="s">
        <v>69</v>
      </c>
      <c r="S231" s="116" t="s">
        <v>47</v>
      </c>
      <c r="U231" s="116" t="s">
        <v>47</v>
      </c>
      <c r="V231" s="10" t="s">
        <v>47</v>
      </c>
      <c r="X231" s="30" t="s">
        <v>24</v>
      </c>
      <c r="AA231" s="36" t="s">
        <v>37</v>
      </c>
      <c r="AM231" s="10" t="s">
        <v>650</v>
      </c>
    </row>
    <row r="232" spans="3:39" x14ac:dyDescent="0.35">
      <c r="C232" s="10" t="s">
        <v>220</v>
      </c>
      <c r="D232" s="36" t="s">
        <v>41</v>
      </c>
      <c r="F232" s="19" t="s">
        <v>7</v>
      </c>
      <c r="G232" s="36" t="s">
        <v>41</v>
      </c>
      <c r="S232" s="116" t="s">
        <v>48</v>
      </c>
      <c r="U232" s="116" t="s">
        <v>48</v>
      </c>
      <c r="V232" s="10" t="s">
        <v>48</v>
      </c>
      <c r="X232" s="30" t="s">
        <v>51</v>
      </c>
      <c r="AA232" s="36" t="s">
        <v>38</v>
      </c>
      <c r="AM232" s="10" t="s">
        <v>625</v>
      </c>
    </row>
    <row r="233" spans="3:39" x14ac:dyDescent="0.35">
      <c r="C233" s="10" t="s">
        <v>7</v>
      </c>
      <c r="D233" s="36" t="s">
        <v>30</v>
      </c>
      <c r="F233" s="19"/>
      <c r="G233" s="36" t="s">
        <v>30</v>
      </c>
      <c r="S233" s="116" t="s">
        <v>552</v>
      </c>
      <c r="U233" s="116" t="s">
        <v>552</v>
      </c>
      <c r="V233" s="10" t="s">
        <v>552</v>
      </c>
      <c r="X233" s="30" t="s">
        <v>24</v>
      </c>
      <c r="AA233" s="36" t="s">
        <v>32</v>
      </c>
      <c r="AM233" s="10" t="s">
        <v>620</v>
      </c>
    </row>
    <row r="234" spans="3:39" ht="11.7" thickBot="1" x14ac:dyDescent="0.4">
      <c r="D234" s="36" t="s">
        <v>42</v>
      </c>
      <c r="G234" s="36" t="s">
        <v>42</v>
      </c>
      <c r="S234" s="116" t="s">
        <v>49</v>
      </c>
      <c r="U234" s="116" t="s">
        <v>49</v>
      </c>
      <c r="V234" s="10" t="s">
        <v>49</v>
      </c>
      <c r="X234" s="30" t="s">
        <v>7</v>
      </c>
      <c r="AA234" s="36" t="s">
        <v>39</v>
      </c>
      <c r="AM234" s="10" t="s">
        <v>49</v>
      </c>
    </row>
    <row r="235" spans="3:39" x14ac:dyDescent="0.35">
      <c r="D235" s="36" t="s">
        <v>32</v>
      </c>
      <c r="G235" s="36" t="s">
        <v>32</v>
      </c>
      <c r="S235" s="116" t="s">
        <v>50</v>
      </c>
      <c r="U235" s="116" t="s">
        <v>50</v>
      </c>
      <c r="V235" s="10" t="s">
        <v>50</v>
      </c>
      <c r="X235" s="11" t="s">
        <v>13</v>
      </c>
      <c r="AA235" s="36" t="s">
        <v>25</v>
      </c>
      <c r="AM235" s="10" t="s">
        <v>50</v>
      </c>
    </row>
    <row r="236" spans="3:39" ht="11.7" thickBot="1" x14ac:dyDescent="0.4">
      <c r="D236" s="36" t="s">
        <v>37</v>
      </c>
      <c r="G236" s="36" t="s">
        <v>37</v>
      </c>
      <c r="S236" s="116" t="s">
        <v>32</v>
      </c>
      <c r="U236" s="116" t="s">
        <v>32</v>
      </c>
      <c r="V236" s="10" t="s">
        <v>32</v>
      </c>
      <c r="X236" s="14" t="s">
        <v>137</v>
      </c>
      <c r="AA236" s="36" t="s">
        <v>32</v>
      </c>
      <c r="AM236" s="10" t="s">
        <v>68</v>
      </c>
    </row>
    <row r="237" spans="3:39" x14ac:dyDescent="0.35">
      <c r="D237" s="36" t="s">
        <v>43</v>
      </c>
      <c r="G237" s="36" t="s">
        <v>43</v>
      </c>
      <c r="S237" s="116" t="s">
        <v>39</v>
      </c>
      <c r="U237" s="116" t="s">
        <v>39</v>
      </c>
      <c r="V237" s="10" t="s">
        <v>39</v>
      </c>
      <c r="AA237" s="36" t="s">
        <v>24</v>
      </c>
      <c r="AM237" s="10" t="s">
        <v>622</v>
      </c>
    </row>
    <row r="238" spans="3:39" x14ac:dyDescent="0.35">
      <c r="D238" s="36" t="s">
        <v>32</v>
      </c>
      <c r="G238" s="36" t="s">
        <v>32</v>
      </c>
      <c r="S238" s="116" t="s">
        <v>32</v>
      </c>
      <c r="U238" s="116" t="s">
        <v>32</v>
      </c>
      <c r="V238" s="10" t="s">
        <v>32</v>
      </c>
      <c r="AA238" s="36" t="s">
        <v>47</v>
      </c>
      <c r="AM238" s="10" t="s">
        <v>68</v>
      </c>
    </row>
    <row r="239" spans="3:39" x14ac:dyDescent="0.35">
      <c r="D239" s="36" t="s">
        <v>39</v>
      </c>
      <c r="G239" s="36" t="s">
        <v>39</v>
      </c>
      <c r="S239" s="116" t="s">
        <v>24</v>
      </c>
      <c r="U239" s="116" t="s">
        <v>24</v>
      </c>
      <c r="V239" s="10" t="s">
        <v>24</v>
      </c>
      <c r="AA239" s="36" t="s">
        <v>48</v>
      </c>
      <c r="AM239" s="10" t="s">
        <v>647</v>
      </c>
    </row>
    <row r="240" spans="3:39" x14ac:dyDescent="0.35">
      <c r="D240" s="36" t="s">
        <v>32</v>
      </c>
      <c r="G240" s="36" t="s">
        <v>32</v>
      </c>
      <c r="S240" s="116" t="s">
        <v>51</v>
      </c>
      <c r="U240" s="116" t="s">
        <v>51</v>
      </c>
      <c r="V240" s="10" t="s">
        <v>51</v>
      </c>
      <c r="AA240" s="36" t="s">
        <v>202</v>
      </c>
      <c r="AM240" s="10" t="s">
        <v>651</v>
      </c>
    </row>
    <row r="241" spans="4:39" x14ac:dyDescent="0.35">
      <c r="D241" s="36" t="s">
        <v>68</v>
      </c>
      <c r="G241" s="36" t="s">
        <v>68</v>
      </c>
      <c r="S241" s="116" t="s">
        <v>24</v>
      </c>
      <c r="U241" s="116" t="s">
        <v>24</v>
      </c>
      <c r="V241" s="10" t="s">
        <v>24</v>
      </c>
      <c r="AA241" s="36" t="s">
        <v>49</v>
      </c>
      <c r="AM241" s="10" t="s">
        <v>647</v>
      </c>
    </row>
    <row r="242" spans="4:39" x14ac:dyDescent="0.35">
      <c r="D242" s="36" t="s">
        <v>70</v>
      </c>
      <c r="G242" s="36" t="s">
        <v>70</v>
      </c>
      <c r="S242" s="116" t="s">
        <v>7</v>
      </c>
      <c r="U242" s="116" t="s">
        <v>7</v>
      </c>
      <c r="V242" s="10" t="s">
        <v>7</v>
      </c>
      <c r="AA242" s="36" t="s">
        <v>50</v>
      </c>
      <c r="AM242" s="10" t="s">
        <v>7</v>
      </c>
    </row>
    <row r="243" spans="4:39" x14ac:dyDescent="0.35">
      <c r="D243" s="36" t="s">
        <v>45</v>
      </c>
      <c r="G243" s="36" t="s">
        <v>45</v>
      </c>
      <c r="S243" s="116" t="s">
        <v>74</v>
      </c>
      <c r="U243" s="116" t="s">
        <v>96</v>
      </c>
      <c r="V243" s="10" t="s">
        <v>74</v>
      </c>
      <c r="AA243" s="36" t="s">
        <v>32</v>
      </c>
      <c r="AM243" s="10" t="s">
        <v>74</v>
      </c>
    </row>
    <row r="244" spans="4:39" x14ac:dyDescent="0.35">
      <c r="D244" s="36" t="s">
        <v>30</v>
      </c>
      <c r="G244" s="36" t="s">
        <v>30</v>
      </c>
      <c r="S244" s="116" t="s">
        <v>77</v>
      </c>
      <c r="U244" s="116" t="s">
        <v>77</v>
      </c>
      <c r="V244" s="10" t="s">
        <v>77</v>
      </c>
      <c r="AA244" s="36" t="s">
        <v>39</v>
      </c>
      <c r="AM244" s="10" t="s">
        <v>681</v>
      </c>
    </row>
    <row r="245" spans="4:39" x14ac:dyDescent="0.35">
      <c r="D245" s="36" t="s">
        <v>38</v>
      </c>
      <c r="G245" s="36" t="s">
        <v>38</v>
      </c>
      <c r="S245" s="116" t="s">
        <v>28</v>
      </c>
      <c r="U245" s="116" t="s">
        <v>28</v>
      </c>
      <c r="V245" s="10" t="s">
        <v>28</v>
      </c>
      <c r="AA245" s="36" t="s">
        <v>32</v>
      </c>
      <c r="AM245" s="10" t="s">
        <v>653</v>
      </c>
    </row>
    <row r="246" spans="4:39" x14ac:dyDescent="0.35">
      <c r="D246" s="36" t="s">
        <v>32</v>
      </c>
      <c r="G246" s="36" t="s">
        <v>32</v>
      </c>
      <c r="S246" s="116" t="s">
        <v>29</v>
      </c>
      <c r="U246" s="116" t="s">
        <v>29</v>
      </c>
      <c r="V246" s="10" t="s">
        <v>29</v>
      </c>
      <c r="AA246" s="36" t="s">
        <v>24</v>
      </c>
      <c r="AM246" s="10" t="s">
        <v>636</v>
      </c>
    </row>
    <row r="247" spans="4:39" x14ac:dyDescent="0.35">
      <c r="D247" s="36" t="s">
        <v>37</v>
      </c>
      <c r="G247" s="36" t="s">
        <v>37</v>
      </c>
      <c r="S247" s="116" t="s">
        <v>30</v>
      </c>
      <c r="U247" s="116" t="s">
        <v>30</v>
      </c>
      <c r="V247" s="10" t="s">
        <v>30</v>
      </c>
      <c r="AA247" s="36" t="s">
        <v>51</v>
      </c>
      <c r="AM247" s="10" t="s">
        <v>620</v>
      </c>
    </row>
    <row r="248" spans="4:39" x14ac:dyDescent="0.35">
      <c r="D248" s="36" t="s">
        <v>38</v>
      </c>
      <c r="G248" s="36" t="s">
        <v>38</v>
      </c>
      <c r="S248" s="116" t="s">
        <v>31</v>
      </c>
      <c r="U248" s="116" t="s">
        <v>31</v>
      </c>
      <c r="V248" s="10" t="s">
        <v>31</v>
      </c>
      <c r="AA248" s="36" t="s">
        <v>24</v>
      </c>
      <c r="AM248" s="10" t="s">
        <v>31</v>
      </c>
    </row>
    <row r="249" spans="4:39" x14ac:dyDescent="0.35">
      <c r="D249" s="36" t="s">
        <v>32</v>
      </c>
      <c r="G249" s="36" t="s">
        <v>32</v>
      </c>
      <c r="S249" s="116" t="s">
        <v>32</v>
      </c>
      <c r="U249" s="116" t="s">
        <v>32</v>
      </c>
      <c r="V249" s="10" t="s">
        <v>32</v>
      </c>
      <c r="AA249" s="36" t="s">
        <v>7</v>
      </c>
      <c r="AM249" s="10" t="s">
        <v>68</v>
      </c>
    </row>
    <row r="250" spans="4:39" x14ac:dyDescent="0.35">
      <c r="D250" s="36" t="s">
        <v>39</v>
      </c>
      <c r="G250" s="36" t="s">
        <v>39</v>
      </c>
      <c r="S250" s="116" t="s">
        <v>33</v>
      </c>
      <c r="U250" s="116" t="s">
        <v>33</v>
      </c>
      <c r="V250" s="10" t="s">
        <v>33</v>
      </c>
      <c r="AA250" s="36" t="s">
        <v>203</v>
      </c>
      <c r="AM250" s="10" t="s">
        <v>626</v>
      </c>
    </row>
    <row r="251" spans="4:39" x14ac:dyDescent="0.35">
      <c r="D251" s="36" t="s">
        <v>46</v>
      </c>
      <c r="G251" s="36" t="s">
        <v>46</v>
      </c>
      <c r="S251" s="116" t="s">
        <v>32</v>
      </c>
      <c r="U251" s="116" t="s">
        <v>32</v>
      </c>
      <c r="V251" s="10" t="s">
        <v>32</v>
      </c>
      <c r="AA251" s="36" t="s">
        <v>204</v>
      </c>
      <c r="AM251" s="10" t="s">
        <v>68</v>
      </c>
    </row>
    <row r="252" spans="4:39" x14ac:dyDescent="0.35">
      <c r="D252" s="36" t="s">
        <v>32</v>
      </c>
      <c r="G252" s="36" t="s">
        <v>32</v>
      </c>
      <c r="S252" s="116" t="s">
        <v>24</v>
      </c>
      <c r="U252" s="116" t="s">
        <v>24</v>
      </c>
      <c r="V252" s="10" t="s">
        <v>24</v>
      </c>
      <c r="AA252" s="36" t="s">
        <v>28</v>
      </c>
      <c r="AM252" s="10" t="s">
        <v>647</v>
      </c>
    </row>
    <row r="253" spans="4:39" x14ac:dyDescent="0.35">
      <c r="D253" s="36" t="s">
        <v>24</v>
      </c>
      <c r="G253" s="36" t="s">
        <v>24</v>
      </c>
      <c r="S253" s="116" t="s">
        <v>34</v>
      </c>
      <c r="U253" s="116" t="s">
        <v>34</v>
      </c>
      <c r="V253" s="10" t="s">
        <v>34</v>
      </c>
      <c r="AA253" s="36" t="s">
        <v>29</v>
      </c>
      <c r="AM253" s="10" t="s">
        <v>645</v>
      </c>
    </row>
    <row r="254" spans="4:39" x14ac:dyDescent="0.35">
      <c r="D254" s="36" t="s">
        <v>47</v>
      </c>
      <c r="G254" s="36" t="s">
        <v>47</v>
      </c>
      <c r="S254" s="116" t="s">
        <v>78</v>
      </c>
      <c r="U254" s="116" t="s">
        <v>78</v>
      </c>
      <c r="V254" s="10" t="s">
        <v>78</v>
      </c>
      <c r="AA254" s="36" t="s">
        <v>30</v>
      </c>
      <c r="AM254" s="10" t="s">
        <v>627</v>
      </c>
    </row>
    <row r="255" spans="4:39" x14ac:dyDescent="0.35">
      <c r="D255" s="36" t="s">
        <v>48</v>
      </c>
      <c r="G255" s="36" t="s">
        <v>48</v>
      </c>
      <c r="S255" s="116" t="s">
        <v>30</v>
      </c>
      <c r="U255" s="116" t="s">
        <v>30</v>
      </c>
      <c r="V255" s="10" t="s">
        <v>30</v>
      </c>
      <c r="AA255" s="36" t="s">
        <v>31</v>
      </c>
      <c r="AM255" s="10" t="s">
        <v>620</v>
      </c>
    </row>
    <row r="256" spans="4:39" x14ac:dyDescent="0.35">
      <c r="D256" s="36" t="s">
        <v>30</v>
      </c>
      <c r="G256" s="36" t="s">
        <v>30</v>
      </c>
      <c r="S256" s="116" t="s">
        <v>38</v>
      </c>
      <c r="U256" s="116" t="s">
        <v>38</v>
      </c>
      <c r="V256" s="10" t="s">
        <v>38</v>
      </c>
      <c r="AA256" s="36" t="s">
        <v>32</v>
      </c>
      <c r="AM256" s="10" t="s">
        <v>38</v>
      </c>
    </row>
    <row r="257" spans="4:39" x14ac:dyDescent="0.35">
      <c r="D257" s="36" t="s">
        <v>49</v>
      </c>
      <c r="G257" s="36" t="s">
        <v>49</v>
      </c>
      <c r="S257" s="116" t="s">
        <v>32</v>
      </c>
      <c r="U257" s="116" t="s">
        <v>32</v>
      </c>
      <c r="V257" s="10" t="s">
        <v>32</v>
      </c>
      <c r="AA257" s="36" t="s">
        <v>33</v>
      </c>
      <c r="AM257" s="10" t="s">
        <v>68</v>
      </c>
    </row>
    <row r="258" spans="4:39" x14ac:dyDescent="0.35">
      <c r="D258" s="36" t="s">
        <v>50</v>
      </c>
      <c r="G258" s="36" t="s">
        <v>50</v>
      </c>
      <c r="S258" s="116" t="s">
        <v>37</v>
      </c>
      <c r="U258" s="116" t="s">
        <v>37</v>
      </c>
      <c r="V258" s="10" t="s">
        <v>37</v>
      </c>
      <c r="AA258" s="36" t="s">
        <v>32</v>
      </c>
      <c r="AM258" s="10" t="s">
        <v>621</v>
      </c>
    </row>
    <row r="259" spans="4:39" x14ac:dyDescent="0.35">
      <c r="D259" s="36" t="s">
        <v>32</v>
      </c>
      <c r="G259" s="36" t="s">
        <v>32</v>
      </c>
      <c r="S259" s="116" t="s">
        <v>38</v>
      </c>
      <c r="U259" s="116" t="s">
        <v>38</v>
      </c>
      <c r="V259" s="10" t="s">
        <v>38</v>
      </c>
      <c r="AA259" s="36" t="s">
        <v>24</v>
      </c>
      <c r="AM259" s="10" t="s">
        <v>38</v>
      </c>
    </row>
    <row r="260" spans="4:39" x14ac:dyDescent="0.35">
      <c r="D260" s="36" t="s">
        <v>39</v>
      </c>
      <c r="G260" s="36" t="s">
        <v>39</v>
      </c>
      <c r="S260" s="116" t="s">
        <v>32</v>
      </c>
      <c r="U260" s="116" t="s">
        <v>32</v>
      </c>
      <c r="V260" s="10" t="s">
        <v>32</v>
      </c>
      <c r="AA260" s="36" t="s">
        <v>34</v>
      </c>
      <c r="AM260" s="10" t="s">
        <v>68</v>
      </c>
    </row>
    <row r="261" spans="4:39" x14ac:dyDescent="0.35">
      <c r="D261" s="36" t="s">
        <v>32</v>
      </c>
      <c r="G261" s="36" t="s">
        <v>32</v>
      </c>
      <c r="S261" s="116" t="s">
        <v>39</v>
      </c>
      <c r="U261" s="116" t="s">
        <v>39</v>
      </c>
      <c r="V261" s="10" t="s">
        <v>39</v>
      </c>
      <c r="AA261" s="36" t="s">
        <v>78</v>
      </c>
      <c r="AM261" s="10" t="s">
        <v>622</v>
      </c>
    </row>
    <row r="262" spans="4:39" x14ac:dyDescent="0.35">
      <c r="D262" s="36" t="s">
        <v>24</v>
      </c>
      <c r="G262" s="36" t="s">
        <v>24</v>
      </c>
      <c r="S262" s="116" t="s">
        <v>46</v>
      </c>
      <c r="U262" s="116" t="s">
        <v>46</v>
      </c>
      <c r="V262" s="10" t="s">
        <v>46</v>
      </c>
      <c r="AA262" s="36" t="s">
        <v>30</v>
      </c>
      <c r="AM262" s="10" t="s">
        <v>46</v>
      </c>
    </row>
    <row r="263" spans="4:39" x14ac:dyDescent="0.35">
      <c r="D263" s="36" t="s">
        <v>51</v>
      </c>
      <c r="G263" s="36" t="s">
        <v>51</v>
      </c>
      <c r="S263" s="116" t="s">
        <v>32</v>
      </c>
      <c r="U263" s="116" t="s">
        <v>32</v>
      </c>
      <c r="V263" s="10" t="s">
        <v>32</v>
      </c>
      <c r="AA263" s="36" t="s">
        <v>38</v>
      </c>
      <c r="AM263" s="10" t="s">
        <v>68</v>
      </c>
    </row>
    <row r="264" spans="4:39" x14ac:dyDescent="0.35">
      <c r="D264" s="36" t="s">
        <v>24</v>
      </c>
      <c r="G264" s="36" t="s">
        <v>24</v>
      </c>
      <c r="S264" s="116" t="s">
        <v>24</v>
      </c>
      <c r="U264" s="116" t="s">
        <v>24</v>
      </c>
      <c r="V264" s="10" t="s">
        <v>24</v>
      </c>
      <c r="AA264" s="36" t="s">
        <v>32</v>
      </c>
      <c r="AM264" s="10" t="s">
        <v>647</v>
      </c>
    </row>
    <row r="265" spans="4:39" x14ac:dyDescent="0.35">
      <c r="D265" s="36" t="s">
        <v>7</v>
      </c>
      <c r="G265" s="36" t="s">
        <v>7</v>
      </c>
      <c r="S265" s="116" t="s">
        <v>40</v>
      </c>
      <c r="U265" s="116" t="s">
        <v>40</v>
      </c>
      <c r="V265" s="10" t="s">
        <v>40</v>
      </c>
      <c r="AA265" s="36" t="s">
        <v>37</v>
      </c>
      <c r="AM265" s="10" t="s">
        <v>654</v>
      </c>
    </row>
    <row r="266" spans="4:39" x14ac:dyDescent="0.35">
      <c r="D266" s="36" t="s">
        <v>71</v>
      </c>
      <c r="G266" s="36" t="s">
        <v>98</v>
      </c>
      <c r="S266" s="116" t="s">
        <v>79</v>
      </c>
      <c r="U266" s="116" t="s">
        <v>79</v>
      </c>
      <c r="V266" s="10" t="s">
        <v>79</v>
      </c>
      <c r="AA266" s="36" t="s">
        <v>38</v>
      </c>
      <c r="AM266" s="10" t="s">
        <v>629</v>
      </c>
    </row>
    <row r="267" spans="4:39" x14ac:dyDescent="0.35">
      <c r="D267" s="36" t="s">
        <v>72</v>
      </c>
      <c r="G267" s="36" t="s">
        <v>72</v>
      </c>
      <c r="S267" s="116" t="s">
        <v>30</v>
      </c>
      <c r="U267" s="116" t="s">
        <v>30</v>
      </c>
      <c r="V267" s="10" t="s">
        <v>30</v>
      </c>
      <c r="AA267" s="36" t="s">
        <v>32</v>
      </c>
      <c r="AM267" s="10" t="s">
        <v>620</v>
      </c>
    </row>
    <row r="268" spans="4:39" x14ac:dyDescent="0.35">
      <c r="D268" s="36" t="s">
        <v>34</v>
      </c>
      <c r="G268" s="36" t="s">
        <v>34</v>
      </c>
      <c r="S268" s="116" t="s">
        <v>49</v>
      </c>
      <c r="U268" s="116" t="s">
        <v>49</v>
      </c>
      <c r="V268" s="10" t="s">
        <v>49</v>
      </c>
      <c r="AA268" s="36" t="s">
        <v>39</v>
      </c>
      <c r="AM268" s="10" t="s">
        <v>49</v>
      </c>
    </row>
    <row r="269" spans="4:39" x14ac:dyDescent="0.35">
      <c r="D269" s="36" t="s">
        <v>73</v>
      </c>
      <c r="G269" s="36" t="s">
        <v>73</v>
      </c>
      <c r="S269" s="116" t="s">
        <v>50</v>
      </c>
      <c r="U269" s="116" t="s">
        <v>50</v>
      </c>
      <c r="V269" s="10" t="s">
        <v>50</v>
      </c>
      <c r="AA269" s="36" t="s">
        <v>46</v>
      </c>
      <c r="AM269" s="10" t="s">
        <v>50</v>
      </c>
    </row>
    <row r="270" spans="4:39" x14ac:dyDescent="0.35">
      <c r="D270" s="36" t="s">
        <v>30</v>
      </c>
      <c r="G270" s="36" t="s">
        <v>30</v>
      </c>
      <c r="S270" s="116" t="s">
        <v>32</v>
      </c>
      <c r="U270" s="116" t="s">
        <v>32</v>
      </c>
      <c r="V270" s="10" t="s">
        <v>32</v>
      </c>
      <c r="AA270" s="36" t="s">
        <v>32</v>
      </c>
      <c r="AM270" s="10" t="s">
        <v>68</v>
      </c>
    </row>
    <row r="271" spans="4:39" x14ac:dyDescent="0.35">
      <c r="D271" s="36" t="s">
        <v>38</v>
      </c>
      <c r="G271" s="36" t="s">
        <v>38</v>
      </c>
      <c r="S271" s="116" t="s">
        <v>39</v>
      </c>
      <c r="U271" s="116" t="s">
        <v>39</v>
      </c>
      <c r="V271" s="10" t="s">
        <v>39</v>
      </c>
      <c r="AA271" s="36" t="s">
        <v>24</v>
      </c>
      <c r="AM271" s="10" t="s">
        <v>622</v>
      </c>
    </row>
    <row r="272" spans="4:39" x14ac:dyDescent="0.35">
      <c r="D272" s="36" t="s">
        <v>36</v>
      </c>
      <c r="G272" s="36" t="s">
        <v>36</v>
      </c>
      <c r="S272" s="116" t="s">
        <v>32</v>
      </c>
      <c r="U272" s="116" t="s">
        <v>32</v>
      </c>
      <c r="V272" s="10" t="s">
        <v>32</v>
      </c>
      <c r="AA272" s="36" t="s">
        <v>40</v>
      </c>
      <c r="AM272" s="10" t="s">
        <v>68</v>
      </c>
    </row>
    <row r="273" spans="3:39" x14ac:dyDescent="0.35">
      <c r="D273" s="36" t="s">
        <v>32</v>
      </c>
      <c r="G273" s="36" t="s">
        <v>32</v>
      </c>
      <c r="S273" s="116" t="s">
        <v>24</v>
      </c>
      <c r="U273" s="116" t="s">
        <v>24</v>
      </c>
      <c r="V273" s="10" t="s">
        <v>24</v>
      </c>
      <c r="AA273" s="36" t="s">
        <v>30</v>
      </c>
      <c r="AM273" s="10" t="s">
        <v>647</v>
      </c>
    </row>
    <row r="274" spans="3:39" x14ac:dyDescent="0.35">
      <c r="D274" s="36" t="s">
        <v>33</v>
      </c>
      <c r="G274" s="36" t="s">
        <v>33</v>
      </c>
      <c r="S274" s="116" t="s">
        <v>51</v>
      </c>
      <c r="U274" s="116" t="s">
        <v>51</v>
      </c>
      <c r="V274" s="10" t="s">
        <v>51</v>
      </c>
      <c r="AA274" s="36" t="s">
        <v>49</v>
      </c>
      <c r="AM274" s="10" t="s">
        <v>651</v>
      </c>
    </row>
    <row r="275" spans="3:39" x14ac:dyDescent="0.35">
      <c r="D275" s="36" t="s">
        <v>32</v>
      </c>
      <c r="G275" s="36" t="s">
        <v>32</v>
      </c>
      <c r="S275" s="116" t="s">
        <v>551</v>
      </c>
      <c r="U275" s="116" t="s">
        <v>551</v>
      </c>
      <c r="V275" s="10" t="s">
        <v>551</v>
      </c>
      <c r="AA275" s="36" t="s">
        <v>50</v>
      </c>
      <c r="AM275" s="10" t="s">
        <v>647</v>
      </c>
    </row>
    <row r="276" spans="3:39" ht="11.7" thickBot="1" x14ac:dyDescent="0.4">
      <c r="D276" s="36" t="s">
        <v>24</v>
      </c>
      <c r="G276" s="36" t="s">
        <v>24</v>
      </c>
      <c r="S276" s="117" t="s">
        <v>7</v>
      </c>
      <c r="U276" s="117" t="s">
        <v>7</v>
      </c>
      <c r="V276" s="10" t="s">
        <v>7</v>
      </c>
      <c r="AA276" s="36" t="s">
        <v>32</v>
      </c>
      <c r="AM276" s="10" t="s">
        <v>7</v>
      </c>
    </row>
    <row r="277" spans="3:39" x14ac:dyDescent="0.35">
      <c r="D277" s="36" t="s">
        <v>54</v>
      </c>
      <c r="G277" s="36" t="s">
        <v>54</v>
      </c>
      <c r="R277" s="127" t="s">
        <v>455</v>
      </c>
      <c r="S277" s="130" t="s">
        <v>58</v>
      </c>
      <c r="T277" s="127" t="s">
        <v>569</v>
      </c>
      <c r="U277" s="130" t="s">
        <v>93</v>
      </c>
      <c r="V277" s="10" t="s">
        <v>58</v>
      </c>
      <c r="AA277" s="36" t="s">
        <v>39</v>
      </c>
      <c r="AM277" s="10" t="s">
        <v>58</v>
      </c>
    </row>
    <row r="278" spans="3:39" x14ac:dyDescent="0.35">
      <c r="D278" s="36" t="s">
        <v>24</v>
      </c>
      <c r="G278" s="36" t="s">
        <v>24</v>
      </c>
      <c r="R278" s="7" t="s">
        <v>446</v>
      </c>
      <c r="S278" s="131" t="s">
        <v>557</v>
      </c>
      <c r="T278" s="7" t="s">
        <v>446</v>
      </c>
      <c r="U278" s="131" t="s">
        <v>557</v>
      </c>
      <c r="V278" s="10" t="s">
        <v>557</v>
      </c>
      <c r="AA278" s="36" t="s">
        <v>32</v>
      </c>
      <c r="AM278" s="10" t="s">
        <v>682</v>
      </c>
    </row>
    <row r="279" spans="3:39" x14ac:dyDescent="0.35">
      <c r="D279" s="41" t="s">
        <v>7</v>
      </c>
      <c r="G279" s="41" t="s">
        <v>7</v>
      </c>
      <c r="R279" s="123" t="s">
        <v>640</v>
      </c>
      <c r="S279" s="131" t="s">
        <v>28</v>
      </c>
      <c r="T279" s="123" t="s">
        <v>640</v>
      </c>
      <c r="U279" s="131" t="s">
        <v>28</v>
      </c>
      <c r="V279" s="10" t="s">
        <v>28</v>
      </c>
      <c r="AA279" s="36" t="s">
        <v>24</v>
      </c>
      <c r="AM279" s="10" t="s">
        <v>653</v>
      </c>
    </row>
    <row r="280" spans="3:39" x14ac:dyDescent="0.35">
      <c r="C280" s="42" t="s">
        <v>120</v>
      </c>
      <c r="D280" s="43" t="s">
        <v>80</v>
      </c>
      <c r="F280" s="42" t="s">
        <v>121</v>
      </c>
      <c r="G280" s="43" t="s">
        <v>99</v>
      </c>
      <c r="R280" s="123" t="s">
        <v>535</v>
      </c>
      <c r="S280" s="131" t="s">
        <v>29</v>
      </c>
      <c r="T280" s="123" t="s">
        <v>535</v>
      </c>
      <c r="U280" s="131" t="s">
        <v>29</v>
      </c>
      <c r="V280" s="10" t="s">
        <v>29</v>
      </c>
      <c r="AA280" s="36" t="s">
        <v>51</v>
      </c>
      <c r="AM280" s="10" t="s">
        <v>636</v>
      </c>
    </row>
    <row r="281" spans="3:39" x14ac:dyDescent="0.35">
      <c r="C281" s="7" t="s">
        <v>156</v>
      </c>
      <c r="D281" s="44" t="s">
        <v>81</v>
      </c>
      <c r="F281" s="7" t="s">
        <v>156</v>
      </c>
      <c r="G281" s="44" t="s">
        <v>81</v>
      </c>
      <c r="R281" s="123" t="s">
        <v>519</v>
      </c>
      <c r="S281" s="131" t="s">
        <v>30</v>
      </c>
      <c r="T281" s="123" t="s">
        <v>519</v>
      </c>
      <c r="U281" s="131" t="s">
        <v>30</v>
      </c>
      <c r="V281" s="10" t="s">
        <v>30</v>
      </c>
      <c r="AA281" s="36" t="s">
        <v>24</v>
      </c>
      <c r="AM281" s="10" t="s">
        <v>620</v>
      </c>
    </row>
    <row r="282" spans="3:39" ht="11.7" thickBot="1" x14ac:dyDescent="0.4">
      <c r="C282" s="19" t="s">
        <v>221</v>
      </c>
      <c r="D282" s="44" t="s">
        <v>34</v>
      </c>
      <c r="F282" s="19" t="s">
        <v>221</v>
      </c>
      <c r="G282" s="44" t="s">
        <v>34</v>
      </c>
      <c r="R282" s="123" t="s">
        <v>536</v>
      </c>
      <c r="S282" s="131" t="s">
        <v>31</v>
      </c>
      <c r="T282" s="123" t="s">
        <v>570</v>
      </c>
      <c r="U282" s="131" t="s">
        <v>31</v>
      </c>
      <c r="V282" s="10" t="s">
        <v>31</v>
      </c>
      <c r="AA282" s="45" t="s">
        <v>7</v>
      </c>
      <c r="AM282" s="10" t="s">
        <v>31</v>
      </c>
    </row>
    <row r="283" spans="3:39" x14ac:dyDescent="0.35">
      <c r="C283" s="19" t="s">
        <v>208</v>
      </c>
      <c r="D283" s="44" t="s">
        <v>35</v>
      </c>
      <c r="F283" s="19" t="s">
        <v>208</v>
      </c>
      <c r="G283" s="44" t="s">
        <v>35</v>
      </c>
      <c r="R283" s="123" t="s">
        <v>537</v>
      </c>
      <c r="S283" s="131" t="s">
        <v>32</v>
      </c>
      <c r="T283" s="123" t="s">
        <v>565</v>
      </c>
      <c r="U283" s="131" t="s">
        <v>32</v>
      </c>
      <c r="V283" s="10" t="s">
        <v>32</v>
      </c>
      <c r="AA283" s="11" t="s">
        <v>13</v>
      </c>
      <c r="AM283" s="10" t="s">
        <v>68</v>
      </c>
    </row>
    <row r="284" spans="3:39" ht="11.7" thickBot="1" x14ac:dyDescent="0.4">
      <c r="C284" s="19" t="s">
        <v>209</v>
      </c>
      <c r="D284" s="44" t="s">
        <v>30</v>
      </c>
      <c r="F284" s="19" t="s">
        <v>209</v>
      </c>
      <c r="G284" s="44" t="s">
        <v>30</v>
      </c>
      <c r="R284" s="123" t="s">
        <v>538</v>
      </c>
      <c r="S284" s="131" t="s">
        <v>33</v>
      </c>
      <c r="T284" s="123" t="s">
        <v>566</v>
      </c>
      <c r="U284" s="131" t="s">
        <v>33</v>
      </c>
      <c r="V284" s="10" t="s">
        <v>33</v>
      </c>
      <c r="AA284" s="14" t="s">
        <v>137</v>
      </c>
      <c r="AM284" s="10" t="s">
        <v>626</v>
      </c>
    </row>
    <row r="285" spans="3:39" x14ac:dyDescent="0.35">
      <c r="C285" s="19" t="s">
        <v>250</v>
      </c>
      <c r="D285" s="44" t="s">
        <v>36</v>
      </c>
      <c r="F285" s="19" t="s">
        <v>250</v>
      </c>
      <c r="G285" s="44" t="s">
        <v>36</v>
      </c>
      <c r="R285" s="123" t="s">
        <v>524</v>
      </c>
      <c r="S285" s="131" t="s">
        <v>32</v>
      </c>
      <c r="T285" s="123" t="s">
        <v>524</v>
      </c>
      <c r="U285" s="131" t="s">
        <v>32</v>
      </c>
      <c r="V285" s="10" t="s">
        <v>32</v>
      </c>
      <c r="AM285" s="10" t="s">
        <v>68</v>
      </c>
    </row>
    <row r="286" spans="3:39" x14ac:dyDescent="0.35">
      <c r="C286" s="19" t="s">
        <v>251</v>
      </c>
      <c r="D286" s="44" t="s">
        <v>32</v>
      </c>
      <c r="F286" s="19" t="s">
        <v>251</v>
      </c>
      <c r="G286" s="44" t="s">
        <v>32</v>
      </c>
      <c r="R286" s="123" t="s">
        <v>525</v>
      </c>
      <c r="S286" s="131" t="s">
        <v>24</v>
      </c>
      <c r="T286" s="123" t="s">
        <v>525</v>
      </c>
      <c r="U286" s="131" t="s">
        <v>24</v>
      </c>
      <c r="V286" s="10" t="s">
        <v>24</v>
      </c>
      <c r="AM286" s="10" t="s">
        <v>647</v>
      </c>
    </row>
    <row r="287" spans="3:39" x14ac:dyDescent="0.35">
      <c r="C287" s="19" t="s">
        <v>252</v>
      </c>
      <c r="D287" s="44" t="s">
        <v>37</v>
      </c>
      <c r="F287" s="19" t="s">
        <v>252</v>
      </c>
      <c r="G287" s="44" t="s">
        <v>37</v>
      </c>
      <c r="R287" s="123" t="s">
        <v>452</v>
      </c>
      <c r="S287" s="131" t="s">
        <v>34</v>
      </c>
      <c r="T287" s="123" t="s">
        <v>572</v>
      </c>
      <c r="U287" s="131" t="s">
        <v>34</v>
      </c>
      <c r="V287" s="10" t="s">
        <v>34</v>
      </c>
      <c r="AM287" s="10" t="s">
        <v>645</v>
      </c>
    </row>
    <row r="288" spans="3:39" x14ac:dyDescent="0.35">
      <c r="C288" s="19" t="s">
        <v>253</v>
      </c>
      <c r="D288" s="44" t="s">
        <v>38</v>
      </c>
      <c r="F288" s="19" t="s">
        <v>278</v>
      </c>
      <c r="G288" s="44" t="s">
        <v>38</v>
      </c>
      <c r="R288" s="123" t="s">
        <v>539</v>
      </c>
      <c r="S288" s="131" t="s">
        <v>35</v>
      </c>
      <c r="T288" s="123" t="s">
        <v>539</v>
      </c>
      <c r="U288" s="131" t="s">
        <v>35</v>
      </c>
      <c r="V288" s="10" t="s">
        <v>35</v>
      </c>
      <c r="AM288" s="10" t="s">
        <v>619</v>
      </c>
    </row>
    <row r="289" spans="3:39" x14ac:dyDescent="0.35">
      <c r="C289" s="19" t="s">
        <v>254</v>
      </c>
      <c r="D289" s="44" t="s">
        <v>32</v>
      </c>
      <c r="F289" s="19" t="s">
        <v>279</v>
      </c>
      <c r="G289" s="44" t="s">
        <v>32</v>
      </c>
      <c r="R289" s="123" t="s">
        <v>683</v>
      </c>
      <c r="S289" s="131" t="s">
        <v>30</v>
      </c>
      <c r="T289" s="123" t="s">
        <v>683</v>
      </c>
      <c r="U289" s="131" t="s">
        <v>30</v>
      </c>
      <c r="V289" s="10" t="s">
        <v>30</v>
      </c>
      <c r="AM289" s="10" t="s">
        <v>620</v>
      </c>
    </row>
    <row r="290" spans="3:39" x14ac:dyDescent="0.35">
      <c r="C290" s="19" t="s">
        <v>255</v>
      </c>
      <c r="D290" s="44" t="s">
        <v>39</v>
      </c>
      <c r="F290" s="19" t="s">
        <v>255</v>
      </c>
      <c r="G290" s="44" t="s">
        <v>39</v>
      </c>
      <c r="R290" s="123" t="s">
        <v>648</v>
      </c>
      <c r="S290" s="131" t="s">
        <v>36</v>
      </c>
      <c r="T290" s="123" t="s">
        <v>648</v>
      </c>
      <c r="U290" s="131" t="s">
        <v>36</v>
      </c>
      <c r="V290" s="10" t="s">
        <v>36</v>
      </c>
      <c r="AM290" s="10" t="s">
        <v>36</v>
      </c>
    </row>
    <row r="291" spans="3:39" x14ac:dyDescent="0.35">
      <c r="C291" s="19" t="s">
        <v>228</v>
      </c>
      <c r="D291" s="44" t="s">
        <v>46</v>
      </c>
      <c r="F291" s="19" t="s">
        <v>228</v>
      </c>
      <c r="G291" s="44" t="s">
        <v>46</v>
      </c>
      <c r="R291" s="123" t="s">
        <v>7</v>
      </c>
      <c r="S291" s="131" t="s">
        <v>32</v>
      </c>
      <c r="T291" s="123" t="s">
        <v>7</v>
      </c>
      <c r="U291" s="131" t="s">
        <v>32</v>
      </c>
      <c r="V291" s="10" t="s">
        <v>32</v>
      </c>
      <c r="AM291" s="10" t="s">
        <v>68</v>
      </c>
    </row>
    <row r="292" spans="3:39" x14ac:dyDescent="0.35">
      <c r="C292" s="19" t="s">
        <v>229</v>
      </c>
      <c r="D292" s="44" t="s">
        <v>32</v>
      </c>
      <c r="F292" s="19" t="s">
        <v>229</v>
      </c>
      <c r="G292" s="44" t="s">
        <v>32</v>
      </c>
      <c r="R292" s="123" t="s">
        <v>624</v>
      </c>
      <c r="S292" s="131" t="s">
        <v>37</v>
      </c>
      <c r="T292" s="123" t="s">
        <v>624</v>
      </c>
      <c r="U292" s="131" t="s">
        <v>37</v>
      </c>
      <c r="V292" s="10" t="s">
        <v>37</v>
      </c>
      <c r="AM292" s="10" t="s">
        <v>621</v>
      </c>
    </row>
    <row r="293" spans="3:39" x14ac:dyDescent="0.35">
      <c r="C293" s="19" t="s">
        <v>216</v>
      </c>
      <c r="D293" s="44" t="s">
        <v>24</v>
      </c>
      <c r="F293" s="19" t="s">
        <v>216</v>
      </c>
      <c r="G293" s="44" t="s">
        <v>24</v>
      </c>
      <c r="S293" s="131" t="s">
        <v>38</v>
      </c>
      <c r="U293" s="131" t="s">
        <v>38</v>
      </c>
      <c r="V293" s="10" t="s">
        <v>38</v>
      </c>
      <c r="AM293" s="10" t="s">
        <v>38</v>
      </c>
    </row>
    <row r="294" spans="3:39" x14ac:dyDescent="0.35">
      <c r="C294" s="19" t="s">
        <v>220</v>
      </c>
      <c r="D294" s="44" t="s">
        <v>40</v>
      </c>
      <c r="F294" s="19" t="s">
        <v>220</v>
      </c>
      <c r="G294" s="44" t="s">
        <v>40</v>
      </c>
      <c r="S294" s="131" t="s">
        <v>32</v>
      </c>
      <c r="U294" s="131" t="s">
        <v>32</v>
      </c>
      <c r="V294" s="10" t="s">
        <v>32</v>
      </c>
      <c r="AM294" s="10" t="s">
        <v>68</v>
      </c>
    </row>
    <row r="295" spans="3:39" x14ac:dyDescent="0.35">
      <c r="C295" s="19" t="s">
        <v>228</v>
      </c>
      <c r="D295" s="44" t="s">
        <v>82</v>
      </c>
      <c r="F295" s="19" t="s">
        <v>228</v>
      </c>
      <c r="G295" s="44" t="s">
        <v>82</v>
      </c>
      <c r="S295" s="131" t="s">
        <v>39</v>
      </c>
      <c r="U295" s="131" t="s">
        <v>39</v>
      </c>
      <c r="V295" s="10" t="s">
        <v>39</v>
      </c>
      <c r="AM295" s="10" t="s">
        <v>622</v>
      </c>
    </row>
    <row r="296" spans="3:39" x14ac:dyDescent="0.35">
      <c r="C296" s="19" t="s">
        <v>229</v>
      </c>
      <c r="D296" s="44" t="s">
        <v>30</v>
      </c>
      <c r="F296" s="19" t="s">
        <v>229</v>
      </c>
      <c r="G296" s="44" t="s">
        <v>30</v>
      </c>
      <c r="S296" s="131" t="s">
        <v>46</v>
      </c>
      <c r="U296" s="131" t="s">
        <v>46</v>
      </c>
      <c r="V296" s="10" t="s">
        <v>46</v>
      </c>
      <c r="AM296" s="10" t="s">
        <v>46</v>
      </c>
    </row>
    <row r="297" spans="3:39" x14ac:dyDescent="0.35">
      <c r="C297" s="19" t="s">
        <v>216</v>
      </c>
      <c r="D297" s="44" t="s">
        <v>42</v>
      </c>
      <c r="F297" s="19" t="s">
        <v>216</v>
      </c>
      <c r="G297" s="44" t="s">
        <v>42</v>
      </c>
      <c r="S297" s="131" t="s">
        <v>32</v>
      </c>
      <c r="U297" s="131" t="s">
        <v>32</v>
      </c>
      <c r="V297" s="10" t="s">
        <v>32</v>
      </c>
      <c r="AM297" s="10" t="s">
        <v>68</v>
      </c>
    </row>
    <row r="298" spans="3:39" x14ac:dyDescent="0.35">
      <c r="C298" s="19" t="s">
        <v>220</v>
      </c>
      <c r="D298" s="44" t="s">
        <v>32</v>
      </c>
      <c r="F298" s="19" t="s">
        <v>220</v>
      </c>
      <c r="G298" s="44" t="s">
        <v>32</v>
      </c>
      <c r="S298" s="131" t="s">
        <v>24</v>
      </c>
      <c r="U298" s="131" t="s">
        <v>24</v>
      </c>
      <c r="V298" s="10" t="s">
        <v>24</v>
      </c>
      <c r="AM298" s="10" t="s">
        <v>647</v>
      </c>
    </row>
    <row r="299" spans="3:39" x14ac:dyDescent="0.35">
      <c r="C299" s="19" t="s">
        <v>7</v>
      </c>
      <c r="D299" s="44" t="s">
        <v>37</v>
      </c>
      <c r="F299" s="19" t="s">
        <v>7</v>
      </c>
      <c r="G299" s="44" t="s">
        <v>37</v>
      </c>
      <c r="S299" s="131" t="s">
        <v>44</v>
      </c>
      <c r="U299" s="131" t="s">
        <v>44</v>
      </c>
      <c r="V299" s="10" t="s">
        <v>44</v>
      </c>
      <c r="AM299" s="10" t="s">
        <v>649</v>
      </c>
    </row>
    <row r="300" spans="3:39" x14ac:dyDescent="0.35">
      <c r="D300" s="44" t="s">
        <v>43</v>
      </c>
      <c r="G300" s="44" t="s">
        <v>43</v>
      </c>
      <c r="S300" s="131" t="s">
        <v>45</v>
      </c>
      <c r="U300" s="131" t="s">
        <v>45</v>
      </c>
      <c r="V300" s="10" t="s">
        <v>45</v>
      </c>
      <c r="AM300" s="10" t="s">
        <v>623</v>
      </c>
    </row>
    <row r="301" spans="3:39" x14ac:dyDescent="0.35">
      <c r="D301" s="44" t="s">
        <v>32</v>
      </c>
      <c r="G301" s="44" t="s">
        <v>32</v>
      </c>
      <c r="S301" s="131" t="s">
        <v>30</v>
      </c>
      <c r="U301" s="131" t="s">
        <v>30</v>
      </c>
      <c r="V301" s="10" t="s">
        <v>30</v>
      </c>
      <c r="AM301" s="10" t="s">
        <v>620</v>
      </c>
    </row>
    <row r="302" spans="3:39" x14ac:dyDescent="0.35">
      <c r="D302" s="44" t="s">
        <v>39</v>
      </c>
      <c r="G302" s="44" t="s">
        <v>39</v>
      </c>
      <c r="S302" s="131" t="s">
        <v>38</v>
      </c>
      <c r="U302" s="131" t="s">
        <v>38</v>
      </c>
      <c r="V302" s="10" t="s">
        <v>38</v>
      </c>
      <c r="AM302" s="10" t="s">
        <v>38</v>
      </c>
    </row>
    <row r="303" spans="3:39" x14ac:dyDescent="0.35">
      <c r="D303" s="44" t="s">
        <v>32</v>
      </c>
      <c r="G303" s="44" t="s">
        <v>32</v>
      </c>
      <c r="S303" s="131" t="s">
        <v>32</v>
      </c>
      <c r="U303" s="131" t="s">
        <v>32</v>
      </c>
      <c r="V303" s="10" t="s">
        <v>32</v>
      </c>
      <c r="AM303" s="10" t="s">
        <v>68</v>
      </c>
    </row>
    <row r="304" spans="3:39" x14ac:dyDescent="0.35">
      <c r="D304" s="44" t="s">
        <v>24</v>
      </c>
      <c r="G304" s="44" t="s">
        <v>24</v>
      </c>
      <c r="S304" s="131" t="s">
        <v>37</v>
      </c>
      <c r="U304" s="131" t="s">
        <v>37</v>
      </c>
      <c r="V304" s="10" t="s">
        <v>37</v>
      </c>
      <c r="AM304" s="10" t="s">
        <v>621</v>
      </c>
    </row>
    <row r="305" spans="4:39" x14ac:dyDescent="0.35">
      <c r="D305" s="44" t="s">
        <v>44</v>
      </c>
      <c r="G305" s="44" t="s">
        <v>44</v>
      </c>
      <c r="S305" s="131" t="s">
        <v>38</v>
      </c>
      <c r="U305" s="131" t="s">
        <v>38</v>
      </c>
      <c r="V305" s="10" t="s">
        <v>38</v>
      </c>
      <c r="AM305" s="10" t="s">
        <v>38</v>
      </c>
    </row>
    <row r="306" spans="4:39" x14ac:dyDescent="0.35">
      <c r="D306" s="44" t="s">
        <v>83</v>
      </c>
      <c r="G306" s="44" t="s">
        <v>83</v>
      </c>
      <c r="S306" s="131" t="s">
        <v>32</v>
      </c>
      <c r="U306" s="131" t="s">
        <v>32</v>
      </c>
      <c r="V306" s="10" t="s">
        <v>32</v>
      </c>
      <c r="AM306" s="10" t="s">
        <v>68</v>
      </c>
    </row>
    <row r="307" spans="4:39" x14ac:dyDescent="0.35">
      <c r="D307" s="44" t="s">
        <v>30</v>
      </c>
      <c r="G307" s="44" t="s">
        <v>30</v>
      </c>
      <c r="S307" s="131" t="s">
        <v>39</v>
      </c>
      <c r="U307" s="131" t="s">
        <v>39</v>
      </c>
      <c r="V307" s="10" t="s">
        <v>39</v>
      </c>
      <c r="AM307" s="10" t="s">
        <v>622</v>
      </c>
    </row>
    <row r="308" spans="4:39" x14ac:dyDescent="0.35">
      <c r="D308" s="44" t="s">
        <v>38</v>
      </c>
      <c r="G308" s="44" t="s">
        <v>38</v>
      </c>
      <c r="S308" s="131" t="s">
        <v>46</v>
      </c>
      <c r="U308" s="131" t="s">
        <v>46</v>
      </c>
      <c r="V308" s="10" t="s">
        <v>46</v>
      </c>
      <c r="AM308" s="10" t="s">
        <v>46</v>
      </c>
    </row>
    <row r="309" spans="4:39" x14ac:dyDescent="0.35">
      <c r="D309" s="44" t="s">
        <v>32</v>
      </c>
      <c r="G309" s="44" t="s">
        <v>32</v>
      </c>
      <c r="S309" s="131" t="s">
        <v>555</v>
      </c>
      <c r="U309" s="131" t="s">
        <v>555</v>
      </c>
      <c r="V309" s="10" t="s">
        <v>555</v>
      </c>
      <c r="AM309" s="10" t="s">
        <v>68</v>
      </c>
    </row>
    <row r="310" spans="4:39" x14ac:dyDescent="0.35">
      <c r="D310" s="44" t="s">
        <v>37</v>
      </c>
      <c r="G310" s="44" t="s">
        <v>37</v>
      </c>
      <c r="S310" s="131" t="s">
        <v>24</v>
      </c>
      <c r="U310" s="131" t="s">
        <v>24</v>
      </c>
      <c r="V310" s="10" t="s">
        <v>24</v>
      </c>
      <c r="AM310" s="10" t="s">
        <v>647</v>
      </c>
    </row>
    <row r="311" spans="4:39" x14ac:dyDescent="0.35">
      <c r="D311" s="44" t="s">
        <v>38</v>
      </c>
      <c r="G311" s="44" t="s">
        <v>38</v>
      </c>
      <c r="S311" s="131" t="s">
        <v>47</v>
      </c>
      <c r="U311" s="131" t="s">
        <v>47</v>
      </c>
      <c r="V311" s="10" t="s">
        <v>47</v>
      </c>
      <c r="AM311" s="10" t="s">
        <v>650</v>
      </c>
    </row>
    <row r="312" spans="4:39" x14ac:dyDescent="0.35">
      <c r="D312" s="44" t="s">
        <v>32</v>
      </c>
      <c r="G312" s="44" t="s">
        <v>32</v>
      </c>
      <c r="S312" s="131" t="s">
        <v>48</v>
      </c>
      <c r="U312" s="131" t="s">
        <v>48</v>
      </c>
      <c r="V312" s="10" t="s">
        <v>48</v>
      </c>
      <c r="AM312" s="10" t="s">
        <v>625</v>
      </c>
    </row>
    <row r="313" spans="4:39" x14ac:dyDescent="0.35">
      <c r="D313" s="44" t="s">
        <v>39</v>
      </c>
      <c r="G313" s="44" t="s">
        <v>39</v>
      </c>
      <c r="S313" s="131" t="s">
        <v>30</v>
      </c>
      <c r="U313" s="131" t="s">
        <v>30</v>
      </c>
      <c r="V313" s="10" t="s">
        <v>30</v>
      </c>
      <c r="AM313" s="10" t="s">
        <v>620</v>
      </c>
    </row>
    <row r="314" spans="4:39" x14ac:dyDescent="0.35">
      <c r="D314" s="44" t="s">
        <v>25</v>
      </c>
      <c r="G314" s="44" t="s">
        <v>25</v>
      </c>
      <c r="S314" s="131" t="s">
        <v>49</v>
      </c>
      <c r="U314" s="131" t="s">
        <v>49</v>
      </c>
      <c r="V314" s="10" t="s">
        <v>49</v>
      </c>
      <c r="AM314" s="10" t="s">
        <v>49</v>
      </c>
    </row>
    <row r="315" spans="4:39" x14ac:dyDescent="0.35">
      <c r="D315" s="44" t="s">
        <v>32</v>
      </c>
      <c r="G315" s="44" t="s">
        <v>32</v>
      </c>
      <c r="S315" s="131" t="s">
        <v>50</v>
      </c>
      <c r="U315" s="131" t="s">
        <v>50</v>
      </c>
      <c r="V315" s="10" t="s">
        <v>50</v>
      </c>
      <c r="AM315" s="10" t="s">
        <v>50</v>
      </c>
    </row>
    <row r="316" spans="4:39" x14ac:dyDescent="0.35">
      <c r="D316" s="44" t="s">
        <v>24</v>
      </c>
      <c r="G316" s="44" t="s">
        <v>24</v>
      </c>
      <c r="S316" s="131" t="s">
        <v>32</v>
      </c>
      <c r="U316" s="131" t="s">
        <v>32</v>
      </c>
      <c r="V316" s="10" t="s">
        <v>32</v>
      </c>
      <c r="AM316" s="10" t="s">
        <v>68</v>
      </c>
    </row>
    <row r="317" spans="4:39" x14ac:dyDescent="0.35">
      <c r="D317" s="44" t="s">
        <v>47</v>
      </c>
      <c r="G317" s="44" t="s">
        <v>47</v>
      </c>
      <c r="S317" s="131" t="s">
        <v>39</v>
      </c>
      <c r="U317" s="131" t="s">
        <v>39</v>
      </c>
      <c r="V317" s="10" t="s">
        <v>39</v>
      </c>
      <c r="AM317" s="10" t="s">
        <v>622</v>
      </c>
    </row>
    <row r="318" spans="4:39" x14ac:dyDescent="0.35">
      <c r="D318" s="44" t="s">
        <v>84</v>
      </c>
      <c r="G318" s="44" t="s">
        <v>84</v>
      </c>
      <c r="S318" s="131" t="s">
        <v>32</v>
      </c>
      <c r="U318" s="131" t="s">
        <v>32</v>
      </c>
      <c r="V318" s="10" t="s">
        <v>32</v>
      </c>
      <c r="AM318" s="10" t="s">
        <v>68</v>
      </c>
    </row>
    <row r="319" spans="4:39" x14ac:dyDescent="0.35">
      <c r="D319" s="44" t="s">
        <v>30</v>
      </c>
      <c r="G319" s="44" t="s">
        <v>30</v>
      </c>
      <c r="S319" s="131" t="s">
        <v>24</v>
      </c>
      <c r="U319" s="131" t="s">
        <v>24</v>
      </c>
      <c r="V319" s="10" t="s">
        <v>24</v>
      </c>
      <c r="AM319" s="10" t="s">
        <v>647</v>
      </c>
    </row>
    <row r="320" spans="4:39" x14ac:dyDescent="0.35">
      <c r="D320" s="44" t="s">
        <v>49</v>
      </c>
      <c r="G320" s="44" t="s">
        <v>49</v>
      </c>
      <c r="S320" s="131" t="s">
        <v>51</v>
      </c>
      <c r="U320" s="131" t="s">
        <v>51</v>
      </c>
      <c r="V320" s="10" t="s">
        <v>51</v>
      </c>
      <c r="AM320" s="10" t="s">
        <v>651</v>
      </c>
    </row>
    <row r="321" spans="4:39" x14ac:dyDescent="0.35">
      <c r="D321" s="44" t="s">
        <v>50</v>
      </c>
      <c r="G321" s="44" t="s">
        <v>50</v>
      </c>
      <c r="S321" s="131" t="s">
        <v>24</v>
      </c>
      <c r="U321" s="131" t="s">
        <v>24</v>
      </c>
      <c r="V321" s="10" t="s">
        <v>24</v>
      </c>
      <c r="AM321" s="10" t="s">
        <v>647</v>
      </c>
    </row>
    <row r="322" spans="4:39" x14ac:dyDescent="0.35">
      <c r="D322" s="44" t="s">
        <v>32</v>
      </c>
      <c r="G322" s="44" t="s">
        <v>32</v>
      </c>
      <c r="S322" s="131" t="s">
        <v>7</v>
      </c>
      <c r="U322" s="131" t="s">
        <v>7</v>
      </c>
      <c r="V322" s="10" t="s">
        <v>7</v>
      </c>
      <c r="AM322" s="10" t="s">
        <v>7</v>
      </c>
    </row>
    <row r="323" spans="4:39" x14ac:dyDescent="0.35">
      <c r="D323" s="44" t="s">
        <v>39</v>
      </c>
      <c r="G323" s="44" t="s">
        <v>39</v>
      </c>
      <c r="S323" s="131" t="s">
        <v>62</v>
      </c>
      <c r="U323" s="131" t="s">
        <v>94</v>
      </c>
      <c r="V323" s="10" t="s">
        <v>62</v>
      </c>
      <c r="AM323" s="10" t="s">
        <v>62</v>
      </c>
    </row>
    <row r="324" spans="4:39" x14ac:dyDescent="0.35">
      <c r="D324" s="44" t="s">
        <v>32</v>
      </c>
      <c r="G324" s="44" t="s">
        <v>32</v>
      </c>
      <c r="S324" s="131" t="s">
        <v>559</v>
      </c>
      <c r="U324" s="131" t="s">
        <v>559</v>
      </c>
      <c r="V324" s="10" t="s">
        <v>559</v>
      </c>
      <c r="AM324" s="10" t="s">
        <v>684</v>
      </c>
    </row>
    <row r="325" spans="4:39" x14ac:dyDescent="0.35">
      <c r="D325" s="44" t="s">
        <v>24</v>
      </c>
      <c r="G325" s="44" t="s">
        <v>24</v>
      </c>
      <c r="S325" s="131" t="s">
        <v>54</v>
      </c>
      <c r="U325" s="131" t="s">
        <v>54</v>
      </c>
      <c r="V325" s="10" t="s">
        <v>54</v>
      </c>
      <c r="AM325" s="10" t="s">
        <v>661</v>
      </c>
    </row>
    <row r="326" spans="4:39" x14ac:dyDescent="0.35">
      <c r="D326" s="44" t="s">
        <v>51</v>
      </c>
      <c r="G326" s="44" t="s">
        <v>51</v>
      </c>
      <c r="S326" s="131" t="s">
        <v>24</v>
      </c>
      <c r="U326" s="131" t="s">
        <v>24</v>
      </c>
      <c r="V326" s="10" t="s">
        <v>24</v>
      </c>
      <c r="AM326" s="10" t="s">
        <v>647</v>
      </c>
    </row>
    <row r="327" spans="4:39" ht="11.7" thickBot="1" x14ac:dyDescent="0.4">
      <c r="D327" s="44" t="s">
        <v>24</v>
      </c>
      <c r="G327" s="44" t="s">
        <v>24</v>
      </c>
      <c r="S327" s="132" t="s">
        <v>7</v>
      </c>
      <c r="U327" s="132" t="s">
        <v>7</v>
      </c>
      <c r="V327" s="10" t="s">
        <v>7</v>
      </c>
      <c r="AM327" s="10" t="s">
        <v>7</v>
      </c>
    </row>
    <row r="328" spans="4:39" x14ac:dyDescent="0.35">
      <c r="D328" s="44" t="s">
        <v>7</v>
      </c>
      <c r="G328" s="44" t="s">
        <v>7</v>
      </c>
      <c r="R328" s="126" t="s">
        <v>454</v>
      </c>
      <c r="S328" s="133" t="s">
        <v>64</v>
      </c>
      <c r="T328" s="126" t="s">
        <v>574</v>
      </c>
      <c r="U328" s="133" t="s">
        <v>97</v>
      </c>
      <c r="V328" s="10" t="s">
        <v>64</v>
      </c>
      <c r="AM328" s="10" t="s">
        <v>64</v>
      </c>
    </row>
    <row r="329" spans="4:39" x14ac:dyDescent="0.35">
      <c r="D329" s="44" t="s">
        <v>85</v>
      </c>
      <c r="G329" s="44" t="s">
        <v>100</v>
      </c>
      <c r="R329" s="7" t="s">
        <v>447</v>
      </c>
      <c r="S329" s="134" t="s">
        <v>558</v>
      </c>
      <c r="T329" s="7" t="s">
        <v>447</v>
      </c>
      <c r="U329" s="134" t="s">
        <v>558</v>
      </c>
      <c r="V329" s="10" t="s">
        <v>558</v>
      </c>
      <c r="AM329" s="10" t="s">
        <v>685</v>
      </c>
    </row>
    <row r="330" spans="4:39" x14ac:dyDescent="0.35">
      <c r="D330" s="44" t="s">
        <v>86</v>
      </c>
      <c r="G330" s="44" t="s">
        <v>86</v>
      </c>
      <c r="R330" s="123" t="s">
        <v>641</v>
      </c>
      <c r="S330" s="134" t="s">
        <v>34</v>
      </c>
      <c r="T330" s="123" t="s">
        <v>641</v>
      </c>
      <c r="U330" s="134" t="s">
        <v>34</v>
      </c>
      <c r="V330" s="10" t="s">
        <v>34</v>
      </c>
      <c r="AM330" s="10" t="s">
        <v>645</v>
      </c>
    </row>
    <row r="331" spans="4:39" x14ac:dyDescent="0.35">
      <c r="D331" s="44" t="s">
        <v>28</v>
      </c>
      <c r="G331" s="44" t="s">
        <v>28</v>
      </c>
      <c r="R331" s="123" t="s">
        <v>540</v>
      </c>
      <c r="S331" s="134" t="s">
        <v>35</v>
      </c>
      <c r="T331" s="123" t="s">
        <v>540</v>
      </c>
      <c r="U331" s="134" t="s">
        <v>35</v>
      </c>
      <c r="V331" s="10" t="s">
        <v>35</v>
      </c>
      <c r="AM331" s="10" t="s">
        <v>619</v>
      </c>
    </row>
    <row r="332" spans="4:39" x14ac:dyDescent="0.35">
      <c r="D332" s="44" t="s">
        <v>29</v>
      </c>
      <c r="G332" s="44" t="s">
        <v>29</v>
      </c>
      <c r="R332" s="123" t="s">
        <v>519</v>
      </c>
      <c r="S332" s="134" t="s">
        <v>30</v>
      </c>
      <c r="T332" s="123" t="s">
        <v>519</v>
      </c>
      <c r="U332" s="134" t="s">
        <v>30</v>
      </c>
      <c r="V332" s="10" t="s">
        <v>30</v>
      </c>
      <c r="AM332" s="10" t="s">
        <v>620</v>
      </c>
    </row>
    <row r="333" spans="4:39" x14ac:dyDescent="0.35">
      <c r="D333" s="44" t="s">
        <v>30</v>
      </c>
      <c r="G333" s="44" t="s">
        <v>30</v>
      </c>
      <c r="R333" s="123" t="s">
        <v>541</v>
      </c>
      <c r="S333" s="134" t="s">
        <v>36</v>
      </c>
      <c r="T333" s="123" t="s">
        <v>541</v>
      </c>
      <c r="U333" s="134" t="s">
        <v>36</v>
      </c>
      <c r="V333" s="10" t="s">
        <v>36</v>
      </c>
      <c r="AM333" s="10" t="s">
        <v>36</v>
      </c>
    </row>
    <row r="334" spans="4:39" x14ac:dyDescent="0.35">
      <c r="D334" s="44" t="s">
        <v>31</v>
      </c>
      <c r="G334" s="44" t="s">
        <v>31</v>
      </c>
      <c r="R334" s="123" t="s">
        <v>656</v>
      </c>
      <c r="S334" s="134" t="s">
        <v>32</v>
      </c>
      <c r="T334" s="123" t="s">
        <v>656</v>
      </c>
      <c r="U334" s="134" t="s">
        <v>32</v>
      </c>
      <c r="V334" s="10" t="s">
        <v>32</v>
      </c>
      <c r="AM334" s="10" t="s">
        <v>68</v>
      </c>
    </row>
    <row r="335" spans="4:39" x14ac:dyDescent="0.35">
      <c r="D335" s="44" t="s">
        <v>32</v>
      </c>
      <c r="G335" s="44" t="s">
        <v>32</v>
      </c>
      <c r="R335" s="123" t="s">
        <v>542</v>
      </c>
      <c r="S335" s="134" t="s">
        <v>37</v>
      </c>
      <c r="T335" s="123" t="s">
        <v>567</v>
      </c>
      <c r="U335" s="134" t="s">
        <v>37</v>
      </c>
      <c r="V335" s="10" t="s">
        <v>37</v>
      </c>
      <c r="AM335" s="10" t="s">
        <v>621</v>
      </c>
    </row>
    <row r="336" spans="4:39" x14ac:dyDescent="0.35">
      <c r="D336" s="44" t="s">
        <v>33</v>
      </c>
      <c r="G336" s="44" t="s">
        <v>33</v>
      </c>
      <c r="R336" s="123" t="s">
        <v>543</v>
      </c>
      <c r="S336" s="134" t="s">
        <v>38</v>
      </c>
      <c r="T336" s="123" t="s">
        <v>568</v>
      </c>
      <c r="U336" s="134" t="s">
        <v>38</v>
      </c>
      <c r="V336" s="10" t="s">
        <v>38</v>
      </c>
      <c r="AM336" s="10" t="s">
        <v>38</v>
      </c>
    </row>
    <row r="337" spans="4:39" x14ac:dyDescent="0.35">
      <c r="D337" s="44" t="s">
        <v>32</v>
      </c>
      <c r="G337" s="44" t="s">
        <v>32</v>
      </c>
      <c r="R337" s="123" t="s">
        <v>453</v>
      </c>
      <c r="S337" s="134" t="s">
        <v>32</v>
      </c>
      <c r="T337" s="123" t="s">
        <v>571</v>
      </c>
      <c r="U337" s="134" t="s">
        <v>32</v>
      </c>
      <c r="V337" s="10" t="s">
        <v>32</v>
      </c>
      <c r="AM337" s="10" t="s">
        <v>68</v>
      </c>
    </row>
    <row r="338" spans="4:39" x14ac:dyDescent="0.35">
      <c r="D338" s="44" t="s">
        <v>87</v>
      </c>
      <c r="G338" s="44" t="s">
        <v>87</v>
      </c>
      <c r="R338" s="123" t="s">
        <v>686</v>
      </c>
      <c r="S338" s="134" t="s">
        <v>39</v>
      </c>
      <c r="T338" s="123" t="s">
        <v>643</v>
      </c>
      <c r="U338" s="134" t="s">
        <v>39</v>
      </c>
      <c r="V338" s="10" t="s">
        <v>39</v>
      </c>
      <c r="AM338" s="10" t="s">
        <v>622</v>
      </c>
    </row>
    <row r="339" spans="4:39" x14ac:dyDescent="0.35">
      <c r="D339" s="44" t="s">
        <v>34</v>
      </c>
      <c r="G339" s="44" t="s">
        <v>34</v>
      </c>
      <c r="R339" s="123" t="s">
        <v>687</v>
      </c>
      <c r="S339" s="134" t="s">
        <v>46</v>
      </c>
      <c r="T339" s="123" t="s">
        <v>687</v>
      </c>
      <c r="U339" s="134" t="s">
        <v>46</v>
      </c>
      <c r="V339" s="10" t="s">
        <v>46</v>
      </c>
      <c r="AM339" s="10" t="s">
        <v>46</v>
      </c>
    </row>
    <row r="340" spans="4:39" x14ac:dyDescent="0.35">
      <c r="D340" s="44" t="s">
        <v>88</v>
      </c>
      <c r="G340" s="44" t="s">
        <v>88</v>
      </c>
      <c r="R340" s="123" t="s">
        <v>648</v>
      </c>
      <c r="S340" s="134" t="s">
        <v>32</v>
      </c>
      <c r="T340" s="123" t="s">
        <v>648</v>
      </c>
      <c r="U340" s="134" t="s">
        <v>32</v>
      </c>
      <c r="V340" s="10" t="s">
        <v>32</v>
      </c>
      <c r="AM340" s="10" t="s">
        <v>68</v>
      </c>
    </row>
    <row r="341" spans="4:39" x14ac:dyDescent="0.35">
      <c r="D341" s="44" t="s">
        <v>30</v>
      </c>
      <c r="G341" s="44" t="s">
        <v>30</v>
      </c>
      <c r="R341" s="123" t="s">
        <v>7</v>
      </c>
      <c r="S341" s="134" t="s">
        <v>24</v>
      </c>
      <c r="T341" s="123" t="s">
        <v>7</v>
      </c>
      <c r="U341" s="134" t="s">
        <v>24</v>
      </c>
      <c r="V341" s="10" t="s">
        <v>24</v>
      </c>
      <c r="AM341" s="10" t="s">
        <v>647</v>
      </c>
    </row>
    <row r="342" spans="4:39" x14ac:dyDescent="0.35">
      <c r="D342" s="44" t="s">
        <v>38</v>
      </c>
      <c r="G342" s="44" t="s">
        <v>38</v>
      </c>
      <c r="R342" s="123" t="s">
        <v>624</v>
      </c>
      <c r="S342" s="134" t="s">
        <v>44</v>
      </c>
      <c r="T342" s="123" t="s">
        <v>624</v>
      </c>
      <c r="U342" s="134" t="s">
        <v>44</v>
      </c>
      <c r="V342" s="10" t="s">
        <v>44</v>
      </c>
      <c r="AM342" s="10" t="s">
        <v>649</v>
      </c>
    </row>
    <row r="343" spans="4:39" x14ac:dyDescent="0.35">
      <c r="D343" s="44" t="s">
        <v>32</v>
      </c>
      <c r="G343" s="44" t="s">
        <v>32</v>
      </c>
      <c r="S343" s="134" t="s">
        <v>45</v>
      </c>
      <c r="U343" s="134" t="s">
        <v>45</v>
      </c>
      <c r="V343" s="10" t="s">
        <v>45</v>
      </c>
      <c r="AM343" s="10" t="s">
        <v>623</v>
      </c>
    </row>
    <row r="344" spans="4:39" x14ac:dyDescent="0.35">
      <c r="D344" s="44" t="s">
        <v>37</v>
      </c>
      <c r="G344" s="44" t="s">
        <v>37</v>
      </c>
      <c r="S344" s="134" t="s">
        <v>30</v>
      </c>
      <c r="U344" s="134" t="s">
        <v>30</v>
      </c>
      <c r="V344" s="10" t="s">
        <v>30</v>
      </c>
      <c r="AM344" s="10" t="s">
        <v>620</v>
      </c>
    </row>
    <row r="345" spans="4:39" x14ac:dyDescent="0.35">
      <c r="D345" s="44" t="s">
        <v>38</v>
      </c>
      <c r="G345" s="44" t="s">
        <v>38</v>
      </c>
      <c r="S345" s="134" t="s">
        <v>38</v>
      </c>
      <c r="U345" s="134" t="s">
        <v>38</v>
      </c>
      <c r="V345" s="10" t="s">
        <v>38</v>
      </c>
      <c r="AM345" s="10" t="s">
        <v>38</v>
      </c>
    </row>
    <row r="346" spans="4:39" x14ac:dyDescent="0.35">
      <c r="D346" s="44" t="s">
        <v>32</v>
      </c>
      <c r="G346" s="44" t="s">
        <v>32</v>
      </c>
      <c r="S346" s="134" t="s">
        <v>32</v>
      </c>
      <c r="U346" s="134" t="s">
        <v>32</v>
      </c>
      <c r="V346" s="10" t="s">
        <v>32</v>
      </c>
      <c r="AM346" s="10" t="s">
        <v>68</v>
      </c>
    </row>
    <row r="347" spans="4:39" x14ac:dyDescent="0.35">
      <c r="D347" s="44" t="s">
        <v>39</v>
      </c>
      <c r="G347" s="44" t="s">
        <v>39</v>
      </c>
      <c r="S347" s="134" t="s">
        <v>37</v>
      </c>
      <c r="U347" s="134" t="s">
        <v>37</v>
      </c>
      <c r="V347" s="10" t="s">
        <v>37</v>
      </c>
      <c r="AM347" s="10" t="s">
        <v>621</v>
      </c>
    </row>
    <row r="348" spans="4:39" x14ac:dyDescent="0.35">
      <c r="D348" s="44" t="s">
        <v>46</v>
      </c>
      <c r="G348" s="44" t="s">
        <v>46</v>
      </c>
      <c r="S348" s="134" t="s">
        <v>38</v>
      </c>
      <c r="U348" s="134" t="s">
        <v>38</v>
      </c>
      <c r="V348" s="10" t="s">
        <v>38</v>
      </c>
      <c r="AM348" s="10" t="s">
        <v>38</v>
      </c>
    </row>
    <row r="349" spans="4:39" x14ac:dyDescent="0.35">
      <c r="D349" s="44" t="s">
        <v>32</v>
      </c>
      <c r="G349" s="44" t="s">
        <v>32</v>
      </c>
      <c r="S349" s="134" t="s">
        <v>32</v>
      </c>
      <c r="U349" s="134" t="s">
        <v>32</v>
      </c>
      <c r="V349" s="10" t="s">
        <v>32</v>
      </c>
      <c r="AM349" s="10" t="s">
        <v>68</v>
      </c>
    </row>
    <row r="350" spans="4:39" x14ac:dyDescent="0.35">
      <c r="D350" s="44" t="s">
        <v>24</v>
      </c>
      <c r="G350" s="44" t="s">
        <v>24</v>
      </c>
      <c r="S350" s="134" t="s">
        <v>39</v>
      </c>
      <c r="U350" s="134" t="s">
        <v>39</v>
      </c>
      <c r="V350" s="10" t="s">
        <v>39</v>
      </c>
      <c r="AM350" s="10" t="s">
        <v>622</v>
      </c>
    </row>
    <row r="351" spans="4:39" x14ac:dyDescent="0.35">
      <c r="D351" s="44" t="s">
        <v>40</v>
      </c>
      <c r="G351" s="44" t="s">
        <v>40</v>
      </c>
      <c r="S351" s="134" t="s">
        <v>46</v>
      </c>
      <c r="U351" s="134" t="s">
        <v>46</v>
      </c>
      <c r="V351" s="10" t="s">
        <v>46</v>
      </c>
      <c r="AM351" s="10" t="s">
        <v>46</v>
      </c>
    </row>
    <row r="352" spans="4:39" x14ac:dyDescent="0.35">
      <c r="D352" s="44" t="s">
        <v>89</v>
      </c>
      <c r="G352" s="44" t="s">
        <v>89</v>
      </c>
      <c r="S352" s="134" t="s">
        <v>32</v>
      </c>
      <c r="U352" s="134" t="s">
        <v>32</v>
      </c>
      <c r="V352" s="10" t="s">
        <v>32</v>
      </c>
      <c r="AM352" s="10" t="s">
        <v>68</v>
      </c>
    </row>
    <row r="353" spans="3:39" x14ac:dyDescent="0.35">
      <c r="D353" s="44" t="s">
        <v>30</v>
      </c>
      <c r="G353" s="44" t="s">
        <v>30</v>
      </c>
      <c r="S353" s="134" t="s">
        <v>24</v>
      </c>
      <c r="U353" s="134" t="s">
        <v>24</v>
      </c>
      <c r="V353" s="10" t="s">
        <v>24</v>
      </c>
      <c r="AM353" s="10" t="s">
        <v>647</v>
      </c>
    </row>
    <row r="354" spans="3:39" x14ac:dyDescent="0.35">
      <c r="D354" s="44" t="s">
        <v>49</v>
      </c>
      <c r="G354" s="44" t="s">
        <v>49</v>
      </c>
      <c r="S354" s="134" t="s">
        <v>47</v>
      </c>
      <c r="U354" s="134" t="s">
        <v>47</v>
      </c>
      <c r="V354" s="10" t="s">
        <v>47</v>
      </c>
      <c r="AM354" s="10" t="s">
        <v>650</v>
      </c>
    </row>
    <row r="355" spans="3:39" x14ac:dyDescent="0.35">
      <c r="D355" s="44" t="s">
        <v>50</v>
      </c>
      <c r="G355" s="44" t="s">
        <v>50</v>
      </c>
      <c r="S355" s="134" t="s">
        <v>48</v>
      </c>
      <c r="U355" s="134" t="s">
        <v>48</v>
      </c>
      <c r="V355" s="10" t="s">
        <v>48</v>
      </c>
      <c r="AM355" s="10" t="s">
        <v>625</v>
      </c>
    </row>
    <row r="356" spans="3:39" x14ac:dyDescent="0.35">
      <c r="D356" s="44" t="s">
        <v>32</v>
      </c>
      <c r="G356" s="44" t="s">
        <v>32</v>
      </c>
      <c r="S356" s="134" t="s">
        <v>552</v>
      </c>
      <c r="U356" s="134" t="s">
        <v>552</v>
      </c>
      <c r="V356" s="10" t="s">
        <v>552</v>
      </c>
      <c r="AM356" s="10" t="s">
        <v>620</v>
      </c>
    </row>
    <row r="357" spans="3:39" x14ac:dyDescent="0.35">
      <c r="D357" s="44" t="s">
        <v>55</v>
      </c>
      <c r="G357" s="44" t="s">
        <v>55</v>
      </c>
      <c r="S357" s="134" t="s">
        <v>49</v>
      </c>
      <c r="U357" s="134" t="s">
        <v>49</v>
      </c>
      <c r="V357" s="10" t="s">
        <v>49</v>
      </c>
      <c r="AM357" s="10" t="s">
        <v>49</v>
      </c>
    </row>
    <row r="358" spans="3:39" x14ac:dyDescent="0.35">
      <c r="D358" s="44" t="s">
        <v>32</v>
      </c>
      <c r="G358" s="44" t="s">
        <v>32</v>
      </c>
      <c r="S358" s="134" t="s">
        <v>50</v>
      </c>
      <c r="U358" s="134" t="s">
        <v>50</v>
      </c>
      <c r="V358" s="10" t="s">
        <v>50</v>
      </c>
      <c r="AM358" s="10" t="s">
        <v>50</v>
      </c>
    </row>
    <row r="359" spans="3:39" x14ac:dyDescent="0.35">
      <c r="D359" s="44" t="s">
        <v>24</v>
      </c>
      <c r="G359" s="44" t="s">
        <v>24</v>
      </c>
      <c r="S359" s="134" t="s">
        <v>32</v>
      </c>
      <c r="U359" s="134" t="s">
        <v>32</v>
      </c>
      <c r="V359" s="10" t="s">
        <v>32</v>
      </c>
      <c r="AM359" s="10" t="s">
        <v>68</v>
      </c>
    </row>
    <row r="360" spans="3:39" x14ac:dyDescent="0.35">
      <c r="D360" s="44" t="s">
        <v>51</v>
      </c>
      <c r="G360" s="44" t="s">
        <v>51</v>
      </c>
      <c r="S360" s="134" t="s">
        <v>39</v>
      </c>
      <c r="U360" s="134" t="s">
        <v>39</v>
      </c>
      <c r="V360" s="10" t="s">
        <v>39</v>
      </c>
      <c r="AM360" s="10" t="s">
        <v>622</v>
      </c>
    </row>
    <row r="361" spans="3:39" x14ac:dyDescent="0.35">
      <c r="D361" s="44" t="s">
        <v>24</v>
      </c>
      <c r="G361" s="44" t="s">
        <v>24</v>
      </c>
      <c r="S361" s="134" t="s">
        <v>32</v>
      </c>
      <c r="U361" s="134" t="s">
        <v>32</v>
      </c>
      <c r="V361" s="10" t="s">
        <v>32</v>
      </c>
      <c r="AM361" s="10" t="s">
        <v>68</v>
      </c>
    </row>
    <row r="362" spans="3:39" ht="11.7" thickBot="1" x14ac:dyDescent="0.4">
      <c r="D362" s="44" t="s">
        <v>90</v>
      </c>
      <c r="G362" s="44" t="s">
        <v>90</v>
      </c>
      <c r="S362" s="134" t="s">
        <v>24</v>
      </c>
      <c r="U362" s="134" t="s">
        <v>24</v>
      </c>
      <c r="V362" s="10" t="s">
        <v>24</v>
      </c>
      <c r="AM362" s="10" t="s">
        <v>647</v>
      </c>
    </row>
    <row r="363" spans="3:39" x14ac:dyDescent="0.35">
      <c r="C363" s="46" t="s">
        <v>146</v>
      </c>
      <c r="D363" s="47" t="s">
        <v>148</v>
      </c>
      <c r="F363" s="46" t="s">
        <v>146</v>
      </c>
      <c r="G363" s="47" t="s">
        <v>139</v>
      </c>
      <c r="S363" s="134" t="s">
        <v>51</v>
      </c>
      <c r="U363" s="134" t="s">
        <v>51</v>
      </c>
      <c r="V363" s="10" t="s">
        <v>51</v>
      </c>
      <c r="AM363" s="10" t="s">
        <v>651</v>
      </c>
    </row>
    <row r="364" spans="3:39" x14ac:dyDescent="0.35">
      <c r="C364" s="46" t="s">
        <v>147</v>
      </c>
      <c r="D364" s="48" t="s">
        <v>149</v>
      </c>
      <c r="F364" s="46" t="s">
        <v>147</v>
      </c>
      <c r="G364" s="48" t="s">
        <v>140</v>
      </c>
      <c r="S364" s="134" t="s">
        <v>24</v>
      </c>
      <c r="U364" s="134" t="s">
        <v>24</v>
      </c>
      <c r="V364" s="10" t="s">
        <v>24</v>
      </c>
      <c r="AM364" s="10" t="s">
        <v>647</v>
      </c>
    </row>
    <row r="365" spans="3:39" x14ac:dyDescent="0.35">
      <c r="C365" s="7" t="s">
        <v>152</v>
      </c>
      <c r="D365" s="48" t="s">
        <v>28</v>
      </c>
      <c r="F365" s="7" t="s">
        <v>152</v>
      </c>
      <c r="G365" s="48" t="s">
        <v>28</v>
      </c>
      <c r="S365" s="134" t="s">
        <v>7</v>
      </c>
      <c r="U365" s="134" t="s">
        <v>7</v>
      </c>
      <c r="V365" s="10" t="s">
        <v>7</v>
      </c>
      <c r="AM365" s="10" t="s">
        <v>7</v>
      </c>
    </row>
    <row r="366" spans="3:39" x14ac:dyDescent="0.35">
      <c r="C366" s="19" t="s">
        <v>307</v>
      </c>
      <c r="D366" s="48" t="s">
        <v>29</v>
      </c>
      <c r="G366" s="48" t="s">
        <v>29</v>
      </c>
      <c r="S366" s="134" t="s">
        <v>71</v>
      </c>
      <c r="U366" s="134" t="s">
        <v>98</v>
      </c>
      <c r="V366" s="10" t="s">
        <v>71</v>
      </c>
      <c r="AM366" s="10" t="s">
        <v>71</v>
      </c>
    </row>
    <row r="367" spans="3:39" x14ac:dyDescent="0.35">
      <c r="C367" s="19" t="s">
        <v>208</v>
      </c>
      <c r="D367" s="48" t="s">
        <v>30</v>
      </c>
      <c r="G367" s="48" t="s">
        <v>30</v>
      </c>
      <c r="S367" s="134" t="s">
        <v>560</v>
      </c>
      <c r="U367" s="134" t="s">
        <v>560</v>
      </c>
      <c r="V367" s="10" t="s">
        <v>560</v>
      </c>
      <c r="AM367" s="10" t="s">
        <v>688</v>
      </c>
    </row>
    <row r="368" spans="3:39" x14ac:dyDescent="0.35">
      <c r="C368" s="19" t="s">
        <v>209</v>
      </c>
      <c r="D368" s="48" t="s">
        <v>31</v>
      </c>
      <c r="G368" s="48" t="s">
        <v>31</v>
      </c>
      <c r="S368" s="134" t="s">
        <v>34</v>
      </c>
      <c r="U368" s="134" t="s">
        <v>34</v>
      </c>
      <c r="V368" s="10" t="s">
        <v>34</v>
      </c>
      <c r="AM368" s="10" t="s">
        <v>645</v>
      </c>
    </row>
    <row r="369" spans="3:39" x14ac:dyDescent="0.35">
      <c r="C369" s="19" t="s">
        <v>243</v>
      </c>
      <c r="D369" s="48" t="s">
        <v>32</v>
      </c>
      <c r="G369" s="48" t="s">
        <v>32</v>
      </c>
      <c r="S369" s="134" t="s">
        <v>73</v>
      </c>
      <c r="U369" s="134" t="s">
        <v>73</v>
      </c>
      <c r="V369" s="10" t="s">
        <v>73</v>
      </c>
      <c r="AM369" s="10" t="s">
        <v>634</v>
      </c>
    </row>
    <row r="370" spans="3:39" x14ac:dyDescent="0.35">
      <c r="C370" s="19" t="s">
        <v>692</v>
      </c>
      <c r="D370" s="48" t="s">
        <v>39</v>
      </c>
      <c r="G370" s="48" t="s">
        <v>39</v>
      </c>
      <c r="S370" s="134" t="s">
        <v>30</v>
      </c>
      <c r="U370" s="134" t="s">
        <v>30</v>
      </c>
      <c r="V370" s="10" t="s">
        <v>30</v>
      </c>
      <c r="AM370" s="10" t="s">
        <v>620</v>
      </c>
    </row>
    <row r="371" spans="3:39" x14ac:dyDescent="0.35">
      <c r="C371" s="19" t="s">
        <v>693</v>
      </c>
      <c r="D371" s="48" t="s">
        <v>32</v>
      </c>
      <c r="G371" s="48" t="s">
        <v>32</v>
      </c>
      <c r="S371" s="134" t="s">
        <v>38</v>
      </c>
      <c r="U371" s="134" t="s">
        <v>38</v>
      </c>
      <c r="V371" s="10" t="s">
        <v>38</v>
      </c>
      <c r="AM371" s="10" t="s">
        <v>38</v>
      </c>
    </row>
    <row r="372" spans="3:39" x14ac:dyDescent="0.35">
      <c r="C372" s="19" t="s">
        <v>695</v>
      </c>
      <c r="D372" s="48" t="s">
        <v>24</v>
      </c>
      <c r="G372" s="48" t="s">
        <v>24</v>
      </c>
      <c r="S372" s="134" t="s">
        <v>36</v>
      </c>
      <c r="U372" s="134" t="s">
        <v>36</v>
      </c>
      <c r="V372" s="10" t="s">
        <v>36</v>
      </c>
      <c r="AM372" s="10" t="s">
        <v>642</v>
      </c>
    </row>
    <row r="373" spans="3:39" x14ac:dyDescent="0.35">
      <c r="C373" s="19" t="s">
        <v>229</v>
      </c>
      <c r="D373" s="48" t="s">
        <v>34</v>
      </c>
      <c r="G373" s="48" t="s">
        <v>34</v>
      </c>
      <c r="S373" s="134" t="s">
        <v>32</v>
      </c>
      <c r="U373" s="134" t="s">
        <v>32</v>
      </c>
      <c r="V373" s="10" t="s">
        <v>32</v>
      </c>
      <c r="AM373" s="10" t="s">
        <v>68</v>
      </c>
    </row>
    <row r="374" spans="3:39" x14ac:dyDescent="0.35">
      <c r="C374" s="19" t="s">
        <v>216</v>
      </c>
      <c r="D374" s="48" t="s">
        <v>35</v>
      </c>
      <c r="G374" s="48" t="s">
        <v>35</v>
      </c>
      <c r="S374" s="134" t="s">
        <v>33</v>
      </c>
      <c r="U374" s="134" t="s">
        <v>33</v>
      </c>
      <c r="V374" s="10" t="s">
        <v>33</v>
      </c>
      <c r="AM374" s="10" t="s">
        <v>626</v>
      </c>
    </row>
    <row r="375" spans="3:39" x14ac:dyDescent="0.35">
      <c r="C375" s="19" t="s">
        <v>220</v>
      </c>
      <c r="D375" s="48" t="s">
        <v>30</v>
      </c>
      <c r="G375" s="48" t="s">
        <v>30</v>
      </c>
      <c r="S375" s="134" t="s">
        <v>32</v>
      </c>
      <c r="U375" s="134" t="s">
        <v>32</v>
      </c>
      <c r="V375" s="10" t="s">
        <v>32</v>
      </c>
      <c r="AM375" s="10" t="s">
        <v>68</v>
      </c>
    </row>
    <row r="376" spans="3:39" x14ac:dyDescent="0.35">
      <c r="C376" s="19" t="s">
        <v>694</v>
      </c>
      <c r="D376" s="48" t="s">
        <v>36</v>
      </c>
      <c r="G376" s="48" t="s">
        <v>36</v>
      </c>
      <c r="S376" s="134" t="s">
        <v>24</v>
      </c>
      <c r="U376" s="134" t="s">
        <v>24</v>
      </c>
      <c r="V376" s="10" t="s">
        <v>24</v>
      </c>
      <c r="AM376" s="10" t="s">
        <v>689</v>
      </c>
    </row>
    <row r="377" spans="3:39" x14ac:dyDescent="0.35">
      <c r="D377" s="48" t="s">
        <v>32</v>
      </c>
      <c r="G377" s="48" t="s">
        <v>32</v>
      </c>
      <c r="S377" s="134" t="s">
        <v>54</v>
      </c>
      <c r="U377" s="134" t="s">
        <v>54</v>
      </c>
      <c r="V377" s="10" t="s">
        <v>54</v>
      </c>
      <c r="AM377" s="10" t="s">
        <v>661</v>
      </c>
    </row>
    <row r="378" spans="3:39" x14ac:dyDescent="0.35">
      <c r="D378" s="48" t="s">
        <v>37</v>
      </c>
      <c r="G378" s="48" t="s">
        <v>37</v>
      </c>
      <c r="S378" s="134" t="s">
        <v>24</v>
      </c>
      <c r="U378" s="134" t="s">
        <v>24</v>
      </c>
      <c r="V378" s="10" t="s">
        <v>24</v>
      </c>
      <c r="AM378" s="10" t="s">
        <v>647</v>
      </c>
    </row>
    <row r="379" spans="3:39" ht="11.7" thickBot="1" x14ac:dyDescent="0.4">
      <c r="D379" s="48" t="s">
        <v>38</v>
      </c>
      <c r="G379" s="48" t="s">
        <v>38</v>
      </c>
      <c r="S379" s="135" t="s">
        <v>7</v>
      </c>
      <c r="U379" s="135" t="s">
        <v>7</v>
      </c>
      <c r="V379" s="10" t="s">
        <v>7</v>
      </c>
      <c r="AM379" s="10" t="s">
        <v>690</v>
      </c>
    </row>
    <row r="380" spans="3:39" ht="11.7" x14ac:dyDescent="0.35">
      <c r="D380" s="48" t="s">
        <v>32</v>
      </c>
      <c r="G380" s="48" t="s">
        <v>32</v>
      </c>
      <c r="S380" s="120" t="s">
        <v>127</v>
      </c>
      <c r="U380" s="120" t="s">
        <v>127</v>
      </c>
      <c r="V380" s="120" t="s">
        <v>127</v>
      </c>
    </row>
    <row r="381" spans="3:39" ht="12" thickBot="1" x14ac:dyDescent="0.4">
      <c r="D381" s="48" t="s">
        <v>39</v>
      </c>
      <c r="G381" s="48" t="s">
        <v>39</v>
      </c>
      <c r="S381" s="121" t="s">
        <v>624</v>
      </c>
      <c r="U381" s="121" t="s">
        <v>624</v>
      </c>
      <c r="V381" s="121" t="s">
        <v>624</v>
      </c>
    </row>
    <row r="382" spans="3:39" x14ac:dyDescent="0.35">
      <c r="D382" s="48" t="s">
        <v>46</v>
      </c>
      <c r="G382" s="48" t="s">
        <v>46</v>
      </c>
      <c r="S382" s="119"/>
      <c r="U382" s="119"/>
    </row>
    <row r="383" spans="3:39" x14ac:dyDescent="0.35">
      <c r="D383" s="48" t="s">
        <v>32</v>
      </c>
      <c r="G383" s="48" t="s">
        <v>32</v>
      </c>
    </row>
    <row r="384" spans="3:39" x14ac:dyDescent="0.35">
      <c r="D384" s="48" t="s">
        <v>24</v>
      </c>
      <c r="G384" s="48" t="s">
        <v>24</v>
      </c>
    </row>
    <row r="385" spans="4:7" x14ac:dyDescent="0.35">
      <c r="D385" s="48" t="s">
        <v>40</v>
      </c>
      <c r="G385" s="48" t="s">
        <v>40</v>
      </c>
    </row>
    <row r="386" spans="4:7" x14ac:dyDescent="0.35">
      <c r="D386" s="48" t="s">
        <v>82</v>
      </c>
      <c r="G386" s="48" t="s">
        <v>82</v>
      </c>
    </row>
    <row r="387" spans="4:7" x14ac:dyDescent="0.35">
      <c r="D387" s="48" t="s">
        <v>30</v>
      </c>
      <c r="G387" s="48" t="s">
        <v>30</v>
      </c>
    </row>
    <row r="388" spans="4:7" x14ac:dyDescent="0.35">
      <c r="D388" s="48" t="s">
        <v>42</v>
      </c>
      <c r="G388" s="48" t="s">
        <v>42</v>
      </c>
    </row>
    <row r="389" spans="4:7" x14ac:dyDescent="0.35">
      <c r="D389" s="48" t="s">
        <v>32</v>
      </c>
      <c r="G389" s="48" t="s">
        <v>32</v>
      </c>
    </row>
    <row r="390" spans="4:7" x14ac:dyDescent="0.35">
      <c r="D390" s="48" t="s">
        <v>37</v>
      </c>
      <c r="G390" s="48" t="s">
        <v>37</v>
      </c>
    </row>
    <row r="391" spans="4:7" x14ac:dyDescent="0.35">
      <c r="D391" s="48" t="s">
        <v>43</v>
      </c>
      <c r="G391" s="48" t="s">
        <v>43</v>
      </c>
    </row>
    <row r="392" spans="4:7" x14ac:dyDescent="0.35">
      <c r="D392" s="48" t="s">
        <v>32</v>
      </c>
      <c r="G392" s="48" t="s">
        <v>32</v>
      </c>
    </row>
    <row r="393" spans="4:7" x14ac:dyDescent="0.35">
      <c r="D393" s="48" t="s">
        <v>39</v>
      </c>
      <c r="G393" s="48" t="s">
        <v>39</v>
      </c>
    </row>
    <row r="394" spans="4:7" x14ac:dyDescent="0.35">
      <c r="D394" s="48" t="s">
        <v>32</v>
      </c>
      <c r="G394" s="48" t="s">
        <v>32</v>
      </c>
    </row>
    <row r="395" spans="4:7" x14ac:dyDescent="0.35">
      <c r="D395" s="48" t="s">
        <v>24</v>
      </c>
      <c r="G395" s="48" t="s">
        <v>24</v>
      </c>
    </row>
    <row r="396" spans="4:7" x14ac:dyDescent="0.35">
      <c r="D396" s="48" t="s">
        <v>44</v>
      </c>
      <c r="G396" s="48" t="s">
        <v>44</v>
      </c>
    </row>
    <row r="397" spans="4:7" x14ac:dyDescent="0.35">
      <c r="D397" s="48" t="s">
        <v>83</v>
      </c>
      <c r="G397" s="48" t="s">
        <v>83</v>
      </c>
    </row>
    <row r="398" spans="4:7" x14ac:dyDescent="0.35">
      <c r="D398" s="48" t="s">
        <v>30</v>
      </c>
      <c r="G398" s="48" t="s">
        <v>30</v>
      </c>
    </row>
    <row r="399" spans="4:7" x14ac:dyDescent="0.35">
      <c r="D399" s="48" t="s">
        <v>38</v>
      </c>
      <c r="G399" s="48" t="s">
        <v>38</v>
      </c>
    </row>
    <row r="400" spans="4:7" x14ac:dyDescent="0.35">
      <c r="D400" s="48" t="s">
        <v>32</v>
      </c>
      <c r="G400" s="48" t="s">
        <v>32</v>
      </c>
    </row>
    <row r="401" spans="4:7" x14ac:dyDescent="0.35">
      <c r="D401" s="48" t="s">
        <v>37</v>
      </c>
      <c r="G401" s="48" t="s">
        <v>37</v>
      </c>
    </row>
    <row r="402" spans="4:7" x14ac:dyDescent="0.35">
      <c r="D402" s="48" t="s">
        <v>38</v>
      </c>
      <c r="G402" s="48" t="s">
        <v>38</v>
      </c>
    </row>
    <row r="403" spans="4:7" x14ac:dyDescent="0.35">
      <c r="D403" s="48" t="s">
        <v>32</v>
      </c>
      <c r="G403" s="48" t="s">
        <v>32</v>
      </c>
    </row>
    <row r="404" spans="4:7" x14ac:dyDescent="0.35">
      <c r="D404" s="48" t="s">
        <v>39</v>
      </c>
      <c r="G404" s="48" t="s">
        <v>39</v>
      </c>
    </row>
    <row r="405" spans="4:7" x14ac:dyDescent="0.35">
      <c r="D405" s="48" t="s">
        <v>46</v>
      </c>
      <c r="G405" s="48" t="s">
        <v>46</v>
      </c>
    </row>
    <row r="406" spans="4:7" x14ac:dyDescent="0.35">
      <c r="D406" s="48" t="s">
        <v>32</v>
      </c>
      <c r="G406" s="48" t="s">
        <v>32</v>
      </c>
    </row>
    <row r="407" spans="4:7" x14ac:dyDescent="0.35">
      <c r="D407" s="48" t="s">
        <v>24</v>
      </c>
      <c r="G407" s="48" t="s">
        <v>24</v>
      </c>
    </row>
    <row r="408" spans="4:7" x14ac:dyDescent="0.35">
      <c r="D408" s="48" t="s">
        <v>47</v>
      </c>
      <c r="G408" s="48" t="s">
        <v>47</v>
      </c>
    </row>
    <row r="409" spans="4:7" x14ac:dyDescent="0.35">
      <c r="D409" s="48" t="s">
        <v>141</v>
      </c>
      <c r="G409" s="48" t="s">
        <v>141</v>
      </c>
    </row>
    <row r="410" spans="4:7" x14ac:dyDescent="0.35">
      <c r="D410" s="48" t="s">
        <v>30</v>
      </c>
      <c r="G410" s="48" t="s">
        <v>30</v>
      </c>
    </row>
    <row r="411" spans="4:7" x14ac:dyDescent="0.35">
      <c r="D411" s="48" t="s">
        <v>49</v>
      </c>
      <c r="G411" s="48" t="s">
        <v>49</v>
      </c>
    </row>
    <row r="412" spans="4:7" x14ac:dyDescent="0.35">
      <c r="D412" s="48" t="s">
        <v>50</v>
      </c>
      <c r="G412" s="48" t="s">
        <v>50</v>
      </c>
    </row>
    <row r="413" spans="4:7" x14ac:dyDescent="0.35">
      <c r="D413" s="48" t="s">
        <v>32</v>
      </c>
      <c r="G413" s="48" t="s">
        <v>32</v>
      </c>
    </row>
    <row r="414" spans="4:7" x14ac:dyDescent="0.35">
      <c r="D414" s="48" t="s">
        <v>39</v>
      </c>
      <c r="G414" s="48" t="s">
        <v>39</v>
      </c>
    </row>
    <row r="415" spans="4:7" x14ac:dyDescent="0.35">
      <c r="D415" s="48" t="s">
        <v>32</v>
      </c>
      <c r="G415" s="48" t="s">
        <v>32</v>
      </c>
    </row>
    <row r="416" spans="4:7" x14ac:dyDescent="0.35">
      <c r="D416" s="48" t="s">
        <v>24</v>
      </c>
      <c r="G416" s="48" t="s">
        <v>24</v>
      </c>
    </row>
    <row r="417" spans="4:7" x14ac:dyDescent="0.35">
      <c r="D417" s="48" t="s">
        <v>51</v>
      </c>
      <c r="G417" s="48" t="s">
        <v>51</v>
      </c>
    </row>
    <row r="418" spans="4:7" x14ac:dyDescent="0.35">
      <c r="D418" s="48" t="s">
        <v>24</v>
      </c>
      <c r="G418" s="48" t="s">
        <v>24</v>
      </c>
    </row>
    <row r="419" spans="4:7" x14ac:dyDescent="0.35">
      <c r="D419" s="48" t="s">
        <v>7</v>
      </c>
      <c r="G419" s="48" t="s">
        <v>7</v>
      </c>
    </row>
    <row r="420" spans="4:7" x14ac:dyDescent="0.35">
      <c r="D420" s="48" t="s">
        <v>150</v>
      </c>
      <c r="G420" s="48" t="s">
        <v>142</v>
      </c>
    </row>
    <row r="421" spans="4:7" x14ac:dyDescent="0.35">
      <c r="D421" s="48" t="s">
        <v>151</v>
      </c>
      <c r="G421" s="48" t="s">
        <v>143</v>
      </c>
    </row>
    <row r="422" spans="4:7" x14ac:dyDescent="0.35">
      <c r="D422" s="48" t="s">
        <v>28</v>
      </c>
      <c r="G422" s="48" t="s">
        <v>28</v>
      </c>
    </row>
    <row r="423" spans="4:7" x14ac:dyDescent="0.35">
      <c r="D423" s="48" t="s">
        <v>29</v>
      </c>
      <c r="G423" s="48" t="s">
        <v>29</v>
      </c>
    </row>
    <row r="424" spans="4:7" x14ac:dyDescent="0.35">
      <c r="D424" s="48" t="s">
        <v>30</v>
      </c>
      <c r="G424" s="48" t="s">
        <v>30</v>
      </c>
    </row>
    <row r="425" spans="4:7" x14ac:dyDescent="0.35">
      <c r="D425" s="48" t="s">
        <v>31</v>
      </c>
      <c r="G425" s="48" t="s">
        <v>31</v>
      </c>
    </row>
    <row r="426" spans="4:7" x14ac:dyDescent="0.35">
      <c r="D426" s="48" t="s">
        <v>32</v>
      </c>
      <c r="G426" s="48" t="s">
        <v>32</v>
      </c>
    </row>
    <row r="427" spans="4:7" x14ac:dyDescent="0.35">
      <c r="D427" s="48" t="s">
        <v>33</v>
      </c>
      <c r="G427" s="48" t="s">
        <v>33</v>
      </c>
    </row>
    <row r="428" spans="4:7" x14ac:dyDescent="0.35">
      <c r="D428" s="48" t="s">
        <v>32</v>
      </c>
      <c r="G428" s="48" t="s">
        <v>32</v>
      </c>
    </row>
    <row r="429" spans="4:7" x14ac:dyDescent="0.35">
      <c r="D429" s="48" t="s">
        <v>24</v>
      </c>
      <c r="G429" s="48" t="s">
        <v>24</v>
      </c>
    </row>
    <row r="430" spans="4:7" x14ac:dyDescent="0.35">
      <c r="D430" s="48" t="s">
        <v>34</v>
      </c>
      <c r="G430" s="48" t="s">
        <v>34</v>
      </c>
    </row>
    <row r="431" spans="4:7" x14ac:dyDescent="0.35">
      <c r="D431" s="48" t="s">
        <v>88</v>
      </c>
      <c r="G431" s="48" t="s">
        <v>88</v>
      </c>
    </row>
    <row r="432" spans="4:7" x14ac:dyDescent="0.35">
      <c r="D432" s="48" t="s">
        <v>30</v>
      </c>
      <c r="G432" s="48" t="s">
        <v>30</v>
      </c>
    </row>
    <row r="433" spans="4:7" x14ac:dyDescent="0.35">
      <c r="D433" s="48" t="s">
        <v>38</v>
      </c>
      <c r="G433" s="48" t="s">
        <v>38</v>
      </c>
    </row>
    <row r="434" spans="4:7" x14ac:dyDescent="0.35">
      <c r="D434" s="48" t="s">
        <v>32</v>
      </c>
      <c r="G434" s="48" t="s">
        <v>32</v>
      </c>
    </row>
    <row r="435" spans="4:7" x14ac:dyDescent="0.35">
      <c r="D435" s="48" t="s">
        <v>37</v>
      </c>
      <c r="G435" s="48" t="s">
        <v>37</v>
      </c>
    </row>
    <row r="436" spans="4:7" x14ac:dyDescent="0.35">
      <c r="D436" s="48" t="s">
        <v>38</v>
      </c>
      <c r="G436" s="48" t="s">
        <v>38</v>
      </c>
    </row>
    <row r="437" spans="4:7" x14ac:dyDescent="0.35">
      <c r="D437" s="48" t="s">
        <v>32</v>
      </c>
      <c r="G437" s="48" t="s">
        <v>32</v>
      </c>
    </row>
    <row r="438" spans="4:7" x14ac:dyDescent="0.35">
      <c r="D438" s="48" t="s">
        <v>39</v>
      </c>
      <c r="G438" s="48" t="s">
        <v>39</v>
      </c>
    </row>
    <row r="439" spans="4:7" x14ac:dyDescent="0.35">
      <c r="D439" s="48" t="s">
        <v>46</v>
      </c>
      <c r="G439" s="48" t="s">
        <v>46</v>
      </c>
    </row>
    <row r="440" spans="4:7" x14ac:dyDescent="0.35">
      <c r="D440" s="48" t="s">
        <v>32</v>
      </c>
      <c r="G440" s="48" t="s">
        <v>32</v>
      </c>
    </row>
    <row r="441" spans="4:7" x14ac:dyDescent="0.35">
      <c r="D441" s="48" t="s">
        <v>24</v>
      </c>
      <c r="G441" s="48" t="s">
        <v>24</v>
      </c>
    </row>
    <row r="442" spans="4:7" x14ac:dyDescent="0.35">
      <c r="D442" s="48" t="s">
        <v>144</v>
      </c>
      <c r="G442" s="48" t="s">
        <v>144</v>
      </c>
    </row>
    <row r="443" spans="4:7" x14ac:dyDescent="0.35">
      <c r="D443" s="48" t="s">
        <v>89</v>
      </c>
      <c r="G443" s="48" t="s">
        <v>89</v>
      </c>
    </row>
    <row r="444" spans="4:7" x14ac:dyDescent="0.35">
      <c r="D444" s="48" t="s">
        <v>30</v>
      </c>
      <c r="G444" s="48" t="s">
        <v>30</v>
      </c>
    </row>
    <row r="445" spans="4:7" x14ac:dyDescent="0.35">
      <c r="D445" s="48" t="s">
        <v>49</v>
      </c>
      <c r="G445" s="48" t="s">
        <v>49</v>
      </c>
    </row>
    <row r="446" spans="4:7" x14ac:dyDescent="0.35">
      <c r="D446" s="48" t="s">
        <v>50</v>
      </c>
      <c r="G446" s="48" t="s">
        <v>50</v>
      </c>
    </row>
    <row r="447" spans="4:7" x14ac:dyDescent="0.35">
      <c r="D447" s="48" t="s">
        <v>32</v>
      </c>
      <c r="G447" s="48" t="s">
        <v>32</v>
      </c>
    </row>
    <row r="448" spans="4:7" x14ac:dyDescent="0.35">
      <c r="D448" s="48" t="s">
        <v>39</v>
      </c>
      <c r="G448" s="48" t="s">
        <v>39</v>
      </c>
    </row>
    <row r="449" spans="4:7" x14ac:dyDescent="0.35">
      <c r="D449" s="48" t="s">
        <v>32</v>
      </c>
      <c r="G449" s="48" t="s">
        <v>32</v>
      </c>
    </row>
    <row r="450" spans="4:7" x14ac:dyDescent="0.35">
      <c r="D450" s="48" t="s">
        <v>145</v>
      </c>
      <c r="G450" s="48" t="s">
        <v>145</v>
      </c>
    </row>
    <row r="451" spans="4:7" x14ac:dyDescent="0.35">
      <c r="D451" s="48" t="s">
        <v>51</v>
      </c>
      <c r="G451" s="48" t="s">
        <v>51</v>
      </c>
    </row>
    <row r="452" spans="4:7" x14ac:dyDescent="0.35">
      <c r="D452" s="48" t="s">
        <v>24</v>
      </c>
      <c r="G452" s="48" t="s">
        <v>24</v>
      </c>
    </row>
    <row r="453" spans="4:7" ht="11.7" thickBot="1" x14ac:dyDescent="0.4">
      <c r="D453" s="48" t="s">
        <v>7</v>
      </c>
      <c r="G453" s="48" t="s">
        <v>7</v>
      </c>
    </row>
    <row r="454" spans="4:7" x14ac:dyDescent="0.35">
      <c r="D454" s="11" t="s">
        <v>127</v>
      </c>
      <c r="G454" s="11" t="s">
        <v>127</v>
      </c>
    </row>
    <row r="455" spans="4:7" ht="11.7" thickBot="1" x14ac:dyDescent="0.4">
      <c r="D455" s="14" t="s">
        <v>14</v>
      </c>
      <c r="G455" s="14" t="s">
        <v>14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16117-69D1-493F-BB83-488B9C407CF9}">
  <dimension ref="A1:B94"/>
  <sheetViews>
    <sheetView workbookViewId="0">
      <selection activeCell="A16" sqref="A16:A18"/>
    </sheetView>
  </sheetViews>
  <sheetFormatPr defaultRowHeight="14.35" x14ac:dyDescent="0.5"/>
  <cols>
    <col min="1" max="1" width="65.52734375" bestFit="1" customWidth="1"/>
    <col min="2" max="2" width="61.52734375" bestFit="1" customWidth="1"/>
  </cols>
  <sheetData>
    <row r="1" spans="1:2" x14ac:dyDescent="0.5">
      <c r="A1" t="s">
        <v>462</v>
      </c>
      <c r="B1" s="118" t="s">
        <v>458</v>
      </c>
    </row>
    <row r="2" spans="1:2" x14ac:dyDescent="0.5">
      <c r="A2" t="s">
        <v>461</v>
      </c>
      <c r="B2" s="118" t="s">
        <v>471</v>
      </c>
    </row>
    <row r="3" spans="1:2" x14ac:dyDescent="0.5">
      <c r="B3" s="118" t="s">
        <v>469</v>
      </c>
    </row>
    <row r="4" spans="1:2" x14ac:dyDescent="0.5">
      <c r="B4" s="118" t="s">
        <v>470</v>
      </c>
    </row>
    <row r="5" spans="1:2" x14ac:dyDescent="0.5">
      <c r="A5" s="118" t="s">
        <v>458</v>
      </c>
      <c r="B5" s="118" t="s">
        <v>472</v>
      </c>
    </row>
    <row r="6" spans="1:2" x14ac:dyDescent="0.5">
      <c r="A6" s="118" t="s">
        <v>468</v>
      </c>
      <c r="B6" s="118" t="s">
        <v>473</v>
      </c>
    </row>
    <row r="7" spans="1:2" x14ac:dyDescent="0.5">
      <c r="A7" s="118" t="s">
        <v>469</v>
      </c>
      <c r="B7" s="118" t="s">
        <v>474</v>
      </c>
    </row>
    <row r="8" spans="1:2" x14ac:dyDescent="0.5">
      <c r="A8" s="118" t="s">
        <v>470</v>
      </c>
      <c r="B8" s="118" t="s">
        <v>475</v>
      </c>
    </row>
    <row r="9" spans="1:2" x14ac:dyDescent="0.5">
      <c r="A9" s="118" t="s">
        <v>5</v>
      </c>
      <c r="B9" s="118" t="s">
        <v>476</v>
      </c>
    </row>
    <row r="10" spans="1:2" x14ac:dyDescent="0.5">
      <c r="A10" s="118" t="s">
        <v>6</v>
      </c>
      <c r="B10" s="118" t="s">
        <v>466</v>
      </c>
    </row>
    <row r="11" spans="1:2" x14ac:dyDescent="0.5">
      <c r="A11" s="118" t="s">
        <v>465</v>
      </c>
      <c r="B11" s="118" t="s">
        <v>477</v>
      </c>
    </row>
    <row r="12" spans="1:2" x14ac:dyDescent="0.5">
      <c r="A12" s="118" t="s">
        <v>7</v>
      </c>
      <c r="B12" s="118" t="s">
        <v>478</v>
      </c>
    </row>
    <row r="13" spans="1:2" x14ac:dyDescent="0.5">
      <c r="A13" s="118" t="s">
        <v>463</v>
      </c>
      <c r="B13" s="118" t="s">
        <v>479</v>
      </c>
    </row>
    <row r="14" spans="1:2" x14ac:dyDescent="0.5">
      <c r="A14" s="118" t="s">
        <v>464</v>
      </c>
      <c r="B14" s="118" t="s">
        <v>477</v>
      </c>
    </row>
    <row r="15" spans="1:2" x14ac:dyDescent="0.5">
      <c r="A15" s="118" t="s">
        <v>7</v>
      </c>
      <c r="B15" s="118" t="s">
        <v>480</v>
      </c>
    </row>
    <row r="16" spans="1:2" x14ac:dyDescent="0.5">
      <c r="A16" s="118" t="s">
        <v>466</v>
      </c>
      <c r="B16" s="118" t="s">
        <v>481</v>
      </c>
    </row>
    <row r="17" spans="1:2" x14ac:dyDescent="0.5">
      <c r="A17" s="118" t="s">
        <v>573</v>
      </c>
      <c r="B17" s="118" t="s">
        <v>482</v>
      </c>
    </row>
    <row r="18" spans="1:2" x14ac:dyDescent="0.5">
      <c r="A18" s="118" t="s">
        <v>7</v>
      </c>
      <c r="B18" s="118" t="s">
        <v>477</v>
      </c>
    </row>
    <row r="19" spans="1:2" x14ac:dyDescent="0.5">
      <c r="B19" s="118" t="s">
        <v>14</v>
      </c>
    </row>
    <row r="20" spans="1:2" x14ac:dyDescent="0.5">
      <c r="B20" s="118" t="s">
        <v>483</v>
      </c>
    </row>
    <row r="21" spans="1:2" x14ac:dyDescent="0.5">
      <c r="B21" s="118" t="s">
        <v>484</v>
      </c>
    </row>
    <row r="22" spans="1:2" x14ac:dyDescent="0.5">
      <c r="B22" s="118" t="s">
        <v>476</v>
      </c>
    </row>
    <row r="23" spans="1:2" x14ac:dyDescent="0.5">
      <c r="B23" s="118" t="s">
        <v>5</v>
      </c>
    </row>
    <row r="24" spans="1:2" x14ac:dyDescent="0.5">
      <c r="B24" s="118" t="s">
        <v>477</v>
      </c>
    </row>
    <row r="25" spans="1:2" x14ac:dyDescent="0.5">
      <c r="B25" s="118" t="s">
        <v>480</v>
      </c>
    </row>
    <row r="26" spans="1:2" x14ac:dyDescent="0.5">
      <c r="B26" s="118" t="s">
        <v>477</v>
      </c>
    </row>
    <row r="27" spans="1:2" x14ac:dyDescent="0.5">
      <c r="B27" s="118" t="s">
        <v>14</v>
      </c>
    </row>
    <row r="28" spans="1:2" x14ac:dyDescent="0.5">
      <c r="B28" s="118" t="s">
        <v>485</v>
      </c>
    </row>
    <row r="29" spans="1:2" x14ac:dyDescent="0.5">
      <c r="B29" s="118" t="s">
        <v>14</v>
      </c>
    </row>
    <row r="30" spans="1:2" x14ac:dyDescent="0.5">
      <c r="B30" s="118" t="s">
        <v>486</v>
      </c>
    </row>
    <row r="31" spans="1:2" x14ac:dyDescent="0.5">
      <c r="B31" s="118" t="s">
        <v>487</v>
      </c>
    </row>
    <row r="32" spans="1:2" x14ac:dyDescent="0.5">
      <c r="B32" s="118" t="s">
        <v>488</v>
      </c>
    </row>
    <row r="33" spans="2:2" x14ac:dyDescent="0.5">
      <c r="B33" s="118" t="s">
        <v>474</v>
      </c>
    </row>
    <row r="34" spans="2:2" x14ac:dyDescent="0.5">
      <c r="B34" s="118" t="s">
        <v>489</v>
      </c>
    </row>
    <row r="35" spans="2:2" x14ac:dyDescent="0.5">
      <c r="B35" s="118" t="s">
        <v>476</v>
      </c>
    </row>
    <row r="36" spans="2:2" x14ac:dyDescent="0.5">
      <c r="B36" s="118" t="s">
        <v>467</v>
      </c>
    </row>
    <row r="37" spans="2:2" x14ac:dyDescent="0.5">
      <c r="B37" s="118" t="s">
        <v>477</v>
      </c>
    </row>
    <row r="38" spans="2:2" x14ac:dyDescent="0.5">
      <c r="B38" s="118" t="s">
        <v>478</v>
      </c>
    </row>
    <row r="39" spans="2:2" x14ac:dyDescent="0.5">
      <c r="B39" s="118" t="s">
        <v>479</v>
      </c>
    </row>
    <row r="40" spans="2:2" x14ac:dyDescent="0.5">
      <c r="B40" s="118" t="s">
        <v>477</v>
      </c>
    </row>
    <row r="41" spans="2:2" x14ac:dyDescent="0.5">
      <c r="B41" s="118" t="s">
        <v>490</v>
      </c>
    </row>
    <row r="42" spans="2:2" x14ac:dyDescent="0.5">
      <c r="B42" s="118" t="s">
        <v>491</v>
      </c>
    </row>
    <row r="43" spans="2:2" x14ac:dyDescent="0.5">
      <c r="B43" s="118" t="s">
        <v>481</v>
      </c>
    </row>
    <row r="44" spans="2:2" x14ac:dyDescent="0.5">
      <c r="B44" s="118" t="s">
        <v>482</v>
      </c>
    </row>
    <row r="45" spans="2:2" x14ac:dyDescent="0.5">
      <c r="B45" s="118" t="s">
        <v>477</v>
      </c>
    </row>
    <row r="46" spans="2:2" x14ac:dyDescent="0.5">
      <c r="B46" s="118" t="s">
        <v>14</v>
      </c>
    </row>
    <row r="47" spans="2:2" x14ac:dyDescent="0.5">
      <c r="B47" s="118" t="s">
        <v>483</v>
      </c>
    </row>
    <row r="48" spans="2:2" x14ac:dyDescent="0.5">
      <c r="B48" s="118" t="s">
        <v>492</v>
      </c>
    </row>
    <row r="49" spans="2:2" x14ac:dyDescent="0.5">
      <c r="B49" s="118" t="s">
        <v>476</v>
      </c>
    </row>
    <row r="50" spans="2:2" x14ac:dyDescent="0.5">
      <c r="B50" s="118" t="s">
        <v>5</v>
      </c>
    </row>
    <row r="51" spans="2:2" x14ac:dyDescent="0.5">
      <c r="B51" s="118" t="s">
        <v>477</v>
      </c>
    </row>
    <row r="52" spans="2:2" x14ac:dyDescent="0.5">
      <c r="B52" s="118" t="s">
        <v>493</v>
      </c>
    </row>
    <row r="53" spans="2:2" x14ac:dyDescent="0.5">
      <c r="B53" s="118" t="s">
        <v>477</v>
      </c>
    </row>
    <row r="54" spans="2:2" x14ac:dyDescent="0.5">
      <c r="B54" s="118" t="s">
        <v>14</v>
      </c>
    </row>
    <row r="55" spans="2:2" x14ac:dyDescent="0.5">
      <c r="B55" s="118" t="s">
        <v>494</v>
      </c>
    </row>
    <row r="56" spans="2:2" x14ac:dyDescent="0.5">
      <c r="B56" s="118" t="s">
        <v>495</v>
      </c>
    </row>
    <row r="57" spans="2:2" x14ac:dyDescent="0.5">
      <c r="B57" s="118" t="s">
        <v>476</v>
      </c>
    </row>
    <row r="58" spans="2:2" x14ac:dyDescent="0.5">
      <c r="B58" s="118" t="s">
        <v>496</v>
      </c>
    </row>
    <row r="59" spans="2:2" x14ac:dyDescent="0.5">
      <c r="B59" s="118" t="s">
        <v>497</v>
      </c>
    </row>
    <row r="60" spans="2:2" x14ac:dyDescent="0.5">
      <c r="B60" s="118" t="s">
        <v>498</v>
      </c>
    </row>
    <row r="61" spans="2:2" x14ac:dyDescent="0.5">
      <c r="B61" s="118" t="s">
        <v>477</v>
      </c>
    </row>
    <row r="62" spans="2:2" x14ac:dyDescent="0.5">
      <c r="B62" s="118" t="s">
        <v>490</v>
      </c>
    </row>
    <row r="63" spans="2:2" x14ac:dyDescent="0.5">
      <c r="B63" s="118" t="s">
        <v>491</v>
      </c>
    </row>
    <row r="64" spans="2:2" x14ac:dyDescent="0.5">
      <c r="B64" s="118" t="s">
        <v>477</v>
      </c>
    </row>
    <row r="65" spans="2:2" x14ac:dyDescent="0.5">
      <c r="B65" s="118" t="s">
        <v>14</v>
      </c>
    </row>
    <row r="66" spans="2:2" x14ac:dyDescent="0.5">
      <c r="B66" s="118" t="s">
        <v>485</v>
      </c>
    </row>
    <row r="67" spans="2:2" x14ac:dyDescent="0.5">
      <c r="B67" s="118" t="s">
        <v>14</v>
      </c>
    </row>
    <row r="68" spans="2:2" x14ac:dyDescent="0.5">
      <c r="B68" s="118" t="s">
        <v>486</v>
      </c>
    </row>
    <row r="69" spans="2:2" x14ac:dyDescent="0.5">
      <c r="B69" s="118" t="s">
        <v>499</v>
      </c>
    </row>
    <row r="70" spans="2:2" x14ac:dyDescent="0.5">
      <c r="B70" s="118" t="s">
        <v>500</v>
      </c>
    </row>
    <row r="71" spans="2:2" x14ac:dyDescent="0.5">
      <c r="B71" s="118" t="s">
        <v>15</v>
      </c>
    </row>
    <row r="72" spans="2:2" x14ac:dyDescent="0.5">
      <c r="B72" s="129"/>
    </row>
    <row r="73" spans="2:2" x14ac:dyDescent="0.5">
      <c r="B73" s="118" t="s">
        <v>459</v>
      </c>
    </row>
    <row r="74" spans="2:2" x14ac:dyDescent="0.5">
      <c r="B74" s="118" t="s">
        <v>1</v>
      </c>
    </row>
    <row r="75" spans="2:2" x14ac:dyDescent="0.5">
      <c r="B75" s="118" t="s">
        <v>501</v>
      </c>
    </row>
    <row r="76" spans="2:2" x14ac:dyDescent="0.5">
      <c r="B76" s="118" t="s">
        <v>502</v>
      </c>
    </row>
    <row r="77" spans="2:2" x14ac:dyDescent="0.5">
      <c r="B77" s="118" t="s">
        <v>503</v>
      </c>
    </row>
    <row r="78" spans="2:2" x14ac:dyDescent="0.5">
      <c r="B78" s="118" t="s">
        <v>504</v>
      </c>
    </row>
    <row r="79" spans="2:2" x14ac:dyDescent="0.5">
      <c r="B79" s="118" t="s">
        <v>505</v>
      </c>
    </row>
    <row r="80" spans="2:2" x14ac:dyDescent="0.5">
      <c r="B80" s="118" t="s">
        <v>506</v>
      </c>
    </row>
    <row r="81" spans="2:2" x14ac:dyDescent="0.5">
      <c r="B81" s="118" t="s">
        <v>507</v>
      </c>
    </row>
    <row r="82" spans="2:2" x14ac:dyDescent="0.5">
      <c r="B82" s="118" t="s">
        <v>508</v>
      </c>
    </row>
    <row r="83" spans="2:2" x14ac:dyDescent="0.5">
      <c r="B83" s="118" t="s">
        <v>509</v>
      </c>
    </row>
    <row r="84" spans="2:2" x14ac:dyDescent="0.5">
      <c r="B84" s="118" t="s">
        <v>510</v>
      </c>
    </row>
    <row r="85" spans="2:2" x14ac:dyDescent="0.5">
      <c r="B85" s="118" t="s">
        <v>511</v>
      </c>
    </row>
    <row r="86" spans="2:2" x14ac:dyDescent="0.5">
      <c r="B86" s="118" t="s">
        <v>512</v>
      </c>
    </row>
    <row r="87" spans="2:2" x14ac:dyDescent="0.5">
      <c r="B87" s="118" t="s">
        <v>513</v>
      </c>
    </row>
    <row r="88" spans="2:2" x14ac:dyDescent="0.5">
      <c r="B88" s="118" t="s">
        <v>514</v>
      </c>
    </row>
    <row r="89" spans="2:2" x14ac:dyDescent="0.5">
      <c r="B89" s="118" t="s">
        <v>14</v>
      </c>
    </row>
    <row r="90" spans="2:2" x14ac:dyDescent="0.5">
      <c r="B90" s="118" t="s">
        <v>486</v>
      </c>
    </row>
    <row r="91" spans="2:2" x14ac:dyDescent="0.5">
      <c r="B91" s="118" t="s">
        <v>515</v>
      </c>
    </row>
    <row r="92" spans="2:2" x14ac:dyDescent="0.5">
      <c r="B92" s="118" t="s">
        <v>516</v>
      </c>
    </row>
    <row r="93" spans="2:2" x14ac:dyDescent="0.5">
      <c r="B93" s="118" t="s">
        <v>517</v>
      </c>
    </row>
    <row r="94" spans="2:2" x14ac:dyDescent="0.5">
      <c r="B94" s="118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qos</vt:lpstr>
      <vt:lpstr>ip-filter</vt:lpstr>
      <vt:lpstr>prefix-lists</vt:lpstr>
      <vt:lpstr>policy-options</vt:lpstr>
      <vt:lpstr>b40-pol-opt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Tang, Phillip</dc:creator>
  <cp:lastModifiedBy>Tang, Phillip</cp:lastModifiedBy>
  <dcterms:created xsi:type="dcterms:W3CDTF">2024-05-01T22:15:46Z</dcterms:created>
  <dcterms:modified xsi:type="dcterms:W3CDTF">2025-09-24T19:59:06Z</dcterms:modified>
</cp:coreProperties>
</file>